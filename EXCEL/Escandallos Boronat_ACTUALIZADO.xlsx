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600" windowWidth="21852" windowHeight="9468"/>
  </bookViews>
  <sheets>
    <sheet name="Listado de Artículos" sheetId="1" r:id="rId1"/>
    <sheet name="M.P Menú finde 45€" sheetId="2" r:id="rId2"/>
    <sheet name="Menú bbq finde 45€" sheetId="3" r:id="rId3"/>
    <sheet name="Menú paella finde 45€" sheetId="4" r:id="rId4"/>
    <sheet name="M.P menú bbq 95€" sheetId="5" r:id="rId5"/>
    <sheet name="Menú bbq 95€" sheetId="6" r:id="rId6"/>
    <sheet name="M.P CALÇOTADA" sheetId="7" r:id="rId7"/>
    <sheet name="MENU CALÇOTADA" sheetId="8" r:id="rId8"/>
    <sheet name="Hoja 1" sheetId="9" r:id="rId9"/>
    <sheet name="M.P Aperitivos" sheetId="10" r:id="rId10"/>
    <sheet name="MP boda 31-1" sheetId="11" r:id="rId11"/>
    <sheet name="MENU BODA 31-1" sheetId="12" r:id="rId12"/>
    <sheet name="COMUNION  ALEJANDRO FERNANDEZ " sheetId="13" r:id="rId13"/>
    <sheet name="PLANTILLA COSTE MENU" sheetId="14" r:id="rId14"/>
    <sheet name="MENU FIN DE AÑO" sheetId="15" r:id="rId15"/>
    <sheet name="MENU AGENCIA 25€ CALÇOTADA" sheetId="16" r:id="rId16"/>
    <sheet name="Menú calçotada niños" sheetId="17" r:id="rId17"/>
    <sheet name="Menú calçotada vegano" sheetId="18" r:id="rId18"/>
    <sheet name="M.P COCTEL COMUNIONES." sheetId="19" r:id="rId19"/>
    <sheet name="M.P MENU BBQ." sheetId="20" r:id="rId20"/>
    <sheet name="MENU BBQ" sheetId="21" r:id="rId21"/>
    <sheet name="Historial de Compras" sheetId="22" r:id="rId22"/>
  </sheets>
  <externalReferences>
    <externalReference r:id="rId23"/>
  </externalReferences>
  <definedNames>
    <definedName name="_xlnm._FilterDatabase" localSheetId="0" hidden="1">'Listado de Artículos'!$A$1:$D$356</definedName>
    <definedName name="Articulo">'Listado de Artículos'!$B:$B</definedName>
    <definedName name="CCCC">'[1]Listado de Artículos'!$B$1:$B$65536</definedName>
    <definedName name="Descripción">#REF!</definedName>
    <definedName name="Excel_BuiltIn__FilterDatabase" localSheetId="0">'Listado de Artículos'!$A$9:$I$1327</definedName>
  </definedNames>
  <calcPr calcId="145621"/>
</workbook>
</file>

<file path=xl/calcChain.xml><?xml version="1.0" encoding="utf-8"?>
<calcChain xmlns="http://schemas.openxmlformats.org/spreadsheetml/2006/main">
  <c r="C24" i="21" l="1"/>
  <c r="C22" i="21"/>
  <c r="D22" i="21" s="1"/>
  <c r="C21" i="21"/>
  <c r="D21" i="21" s="1"/>
  <c r="C19" i="21"/>
  <c r="D19" i="21" s="1"/>
  <c r="C18" i="21"/>
  <c r="D18" i="21" s="1"/>
  <c r="C16" i="21"/>
  <c r="D16" i="21" s="1"/>
  <c r="D15" i="21"/>
  <c r="C15" i="21"/>
  <c r="C14" i="21"/>
  <c r="D14" i="21" s="1"/>
  <c r="C13" i="21"/>
  <c r="D13" i="21" s="1"/>
  <c r="C12" i="21"/>
  <c r="D12" i="21" s="1"/>
  <c r="C11" i="21"/>
  <c r="D11" i="21" s="1"/>
  <c r="C10" i="21"/>
  <c r="D10" i="21" s="1"/>
  <c r="C9" i="21"/>
  <c r="D9" i="21" s="1"/>
  <c r="C8" i="21"/>
  <c r="D8" i="21" s="1"/>
  <c r="C7" i="21"/>
  <c r="D7" i="21" s="1"/>
  <c r="C6" i="21"/>
  <c r="D6" i="21" s="1"/>
  <c r="G86" i="20"/>
  <c r="H86" i="20" s="1"/>
  <c r="I86" i="20" s="1"/>
  <c r="J86" i="20" s="1"/>
  <c r="D86" i="20"/>
  <c r="K86" i="20" s="1"/>
  <c r="H85" i="20"/>
  <c r="I85" i="20" s="1"/>
  <c r="J85" i="20" s="1"/>
  <c r="G85" i="20"/>
  <c r="D85" i="20"/>
  <c r="H84" i="20"/>
  <c r="I84" i="20" s="1"/>
  <c r="J84" i="20" s="1"/>
  <c r="K84" i="20" s="1"/>
  <c r="G84" i="20"/>
  <c r="D84" i="20"/>
  <c r="H83" i="20"/>
  <c r="I83" i="20" s="1"/>
  <c r="J83" i="20" s="1"/>
  <c r="G83" i="20"/>
  <c r="D83" i="20"/>
  <c r="G82" i="20"/>
  <c r="H82" i="20" s="1"/>
  <c r="I82" i="20" s="1"/>
  <c r="J82" i="20" s="1"/>
  <c r="D82" i="20"/>
  <c r="K82" i="20" s="1"/>
  <c r="H81" i="20"/>
  <c r="I81" i="20" s="1"/>
  <c r="J81" i="20" s="1"/>
  <c r="G81" i="20"/>
  <c r="D81" i="20"/>
  <c r="K81" i="20" s="1"/>
  <c r="K80" i="20"/>
  <c r="J80" i="20"/>
  <c r="H80" i="20"/>
  <c r="I80" i="20" s="1"/>
  <c r="G80" i="20"/>
  <c r="D80" i="20"/>
  <c r="H79" i="20"/>
  <c r="I79" i="20" s="1"/>
  <c r="J79" i="20" s="1"/>
  <c r="G79" i="20"/>
  <c r="D79" i="20"/>
  <c r="I66" i="20"/>
  <c r="J66" i="20" s="1"/>
  <c r="H66" i="20"/>
  <c r="G66" i="20"/>
  <c r="D66" i="20"/>
  <c r="K66" i="20" s="1"/>
  <c r="G65" i="20"/>
  <c r="H65" i="20" s="1"/>
  <c r="I65" i="20" s="1"/>
  <c r="J65" i="20" s="1"/>
  <c r="D65" i="20"/>
  <c r="K65" i="20" s="1"/>
  <c r="H64" i="20"/>
  <c r="I64" i="20" s="1"/>
  <c r="J64" i="20" s="1"/>
  <c r="G64" i="20"/>
  <c r="D64" i="20"/>
  <c r="H52" i="20"/>
  <c r="I52" i="20" s="1"/>
  <c r="J52" i="20" s="1"/>
  <c r="G52" i="20"/>
  <c r="D52" i="20"/>
  <c r="K52" i="20" s="1"/>
  <c r="J51" i="20"/>
  <c r="K51" i="20" s="1"/>
  <c r="H51" i="20"/>
  <c r="I51" i="20" s="1"/>
  <c r="G51" i="20"/>
  <c r="D51" i="20"/>
  <c r="H50" i="20"/>
  <c r="I50" i="20" s="1"/>
  <c r="J50" i="20" s="1"/>
  <c r="G50" i="20"/>
  <c r="D50" i="20"/>
  <c r="G49" i="20"/>
  <c r="H49" i="20" s="1"/>
  <c r="I49" i="20" s="1"/>
  <c r="J49" i="20" s="1"/>
  <c r="D49" i="20"/>
  <c r="H48" i="20"/>
  <c r="I48" i="20" s="1"/>
  <c r="J48" i="20" s="1"/>
  <c r="G48" i="20"/>
  <c r="D48" i="20"/>
  <c r="K48" i="20" s="1"/>
  <c r="J47" i="20"/>
  <c r="K47" i="20" s="1"/>
  <c r="H47" i="20"/>
  <c r="I47" i="20" s="1"/>
  <c r="G47" i="20"/>
  <c r="D47" i="20"/>
  <c r="H46" i="20"/>
  <c r="I46" i="20" s="1"/>
  <c r="J46" i="20" s="1"/>
  <c r="G46" i="20"/>
  <c r="D46" i="20"/>
  <c r="K46" i="20" s="1"/>
  <c r="H34" i="20"/>
  <c r="I34" i="20" s="1"/>
  <c r="J34" i="20" s="1"/>
  <c r="G34" i="20"/>
  <c r="D34" i="20"/>
  <c r="G33" i="20"/>
  <c r="H33" i="20" s="1"/>
  <c r="I33" i="20" s="1"/>
  <c r="J33" i="20" s="1"/>
  <c r="D33" i="20"/>
  <c r="K33" i="20" s="1"/>
  <c r="G19" i="20"/>
  <c r="H19" i="20" s="1"/>
  <c r="I19" i="20" s="1"/>
  <c r="J19" i="20" s="1"/>
  <c r="D19" i="20"/>
  <c r="K19" i="20" s="1"/>
  <c r="H18" i="20"/>
  <c r="I18" i="20" s="1"/>
  <c r="J18" i="20" s="1"/>
  <c r="G18" i="20"/>
  <c r="D18" i="20"/>
  <c r="H17" i="20"/>
  <c r="I17" i="20" s="1"/>
  <c r="J17" i="20" s="1"/>
  <c r="K17" i="20" s="1"/>
  <c r="G17" i="20"/>
  <c r="D17" i="20"/>
  <c r="H16" i="20"/>
  <c r="I16" i="20" s="1"/>
  <c r="J16" i="20" s="1"/>
  <c r="G16" i="20"/>
  <c r="D16" i="20"/>
  <c r="G15" i="20"/>
  <c r="H15" i="20" s="1"/>
  <c r="I15" i="20" s="1"/>
  <c r="J15" i="20" s="1"/>
  <c r="D15" i="20"/>
  <c r="K15" i="20" s="1"/>
  <c r="H14" i="20"/>
  <c r="I14" i="20" s="1"/>
  <c r="J14" i="20" s="1"/>
  <c r="G14" i="20"/>
  <c r="D14" i="20"/>
  <c r="K14" i="20" s="1"/>
  <c r="K13" i="20"/>
  <c r="J13" i="20"/>
  <c r="H13" i="20"/>
  <c r="I13" i="20" s="1"/>
  <c r="G13" i="20"/>
  <c r="D13" i="20"/>
  <c r="H12" i="20"/>
  <c r="I12" i="20" s="1"/>
  <c r="J12" i="20" s="1"/>
  <c r="G12" i="20"/>
  <c r="D12" i="20"/>
  <c r="I48" i="19"/>
  <c r="J48" i="19" s="1"/>
  <c r="H48" i="19"/>
  <c r="G48" i="19"/>
  <c r="D48" i="19"/>
  <c r="K48" i="19" s="1"/>
  <c r="G47" i="19"/>
  <c r="H47" i="19" s="1"/>
  <c r="I47" i="19" s="1"/>
  <c r="J47" i="19" s="1"/>
  <c r="D47" i="19"/>
  <c r="K47" i="19" s="1"/>
  <c r="H46" i="19"/>
  <c r="I46" i="19" s="1"/>
  <c r="J46" i="19" s="1"/>
  <c r="G46" i="19"/>
  <c r="D46" i="19"/>
  <c r="K46" i="19" s="1"/>
  <c r="K45" i="19"/>
  <c r="H45" i="19"/>
  <c r="I45" i="19" s="1"/>
  <c r="J45" i="19" s="1"/>
  <c r="G45" i="19"/>
  <c r="D45" i="19"/>
  <c r="H44" i="19"/>
  <c r="I44" i="19" s="1"/>
  <c r="J44" i="19" s="1"/>
  <c r="G44" i="19"/>
  <c r="D44" i="19"/>
  <c r="K44" i="19" s="1"/>
  <c r="G43" i="19"/>
  <c r="H43" i="19" s="1"/>
  <c r="I43" i="19" s="1"/>
  <c r="J43" i="19" s="1"/>
  <c r="D43" i="19"/>
  <c r="K43" i="19" s="1"/>
  <c r="H42" i="19"/>
  <c r="I42" i="19" s="1"/>
  <c r="J42" i="19" s="1"/>
  <c r="G42" i="19"/>
  <c r="D42" i="19"/>
  <c r="K42" i="19" s="1"/>
  <c r="K41" i="19"/>
  <c r="J41" i="19"/>
  <c r="H41" i="19"/>
  <c r="I41" i="19" s="1"/>
  <c r="G41" i="19"/>
  <c r="D41" i="19"/>
  <c r="H40" i="19"/>
  <c r="I40" i="19" s="1"/>
  <c r="J40" i="19" s="1"/>
  <c r="G40" i="19"/>
  <c r="D40" i="19"/>
  <c r="K40" i="19" s="1"/>
  <c r="G39" i="19"/>
  <c r="H39" i="19" s="1"/>
  <c r="I39" i="19" s="1"/>
  <c r="J39" i="19" s="1"/>
  <c r="D39" i="19"/>
  <c r="H38" i="19"/>
  <c r="I38" i="19" s="1"/>
  <c r="J38" i="19" s="1"/>
  <c r="G38" i="19"/>
  <c r="D38" i="19"/>
  <c r="K38" i="19" s="1"/>
  <c r="H37" i="19"/>
  <c r="I37" i="19" s="1"/>
  <c r="J37" i="19" s="1"/>
  <c r="K37" i="19" s="1"/>
  <c r="G37" i="19"/>
  <c r="D37" i="19"/>
  <c r="H22" i="19"/>
  <c r="I22" i="19" s="1"/>
  <c r="J22" i="19" s="1"/>
  <c r="K22" i="19" s="1"/>
  <c r="G22" i="19"/>
  <c r="D22" i="19"/>
  <c r="H21" i="19"/>
  <c r="I21" i="19" s="1"/>
  <c r="J21" i="19" s="1"/>
  <c r="G21" i="19"/>
  <c r="D21" i="19"/>
  <c r="G20" i="19"/>
  <c r="H20" i="19" s="1"/>
  <c r="I20" i="19" s="1"/>
  <c r="J20" i="19" s="1"/>
  <c r="D20" i="19"/>
  <c r="H19" i="19"/>
  <c r="I19" i="19" s="1"/>
  <c r="J19" i="19" s="1"/>
  <c r="G19" i="19"/>
  <c r="D19" i="19"/>
  <c r="K19" i="19" s="1"/>
  <c r="K18" i="19"/>
  <c r="J18" i="19"/>
  <c r="H18" i="19"/>
  <c r="I18" i="19" s="1"/>
  <c r="G18" i="19"/>
  <c r="D18" i="19"/>
  <c r="H17" i="19"/>
  <c r="I17" i="19" s="1"/>
  <c r="J17" i="19" s="1"/>
  <c r="G17" i="19"/>
  <c r="D17" i="19"/>
  <c r="G16" i="19"/>
  <c r="H16" i="19" s="1"/>
  <c r="I16" i="19" s="1"/>
  <c r="J16" i="19" s="1"/>
  <c r="D16" i="19"/>
  <c r="H15" i="19"/>
  <c r="I15" i="19" s="1"/>
  <c r="J15" i="19" s="1"/>
  <c r="G15" i="19"/>
  <c r="D15" i="19"/>
  <c r="H14" i="19"/>
  <c r="I14" i="19" s="1"/>
  <c r="J14" i="19" s="1"/>
  <c r="K14" i="19" s="1"/>
  <c r="G14" i="19"/>
  <c r="D14" i="19"/>
  <c r="I13" i="19"/>
  <c r="J13" i="19" s="1"/>
  <c r="H13" i="19"/>
  <c r="G13" i="19"/>
  <c r="D13" i="19"/>
  <c r="G12" i="19"/>
  <c r="H12" i="19" s="1"/>
  <c r="I12" i="19" s="1"/>
  <c r="J12" i="19" s="1"/>
  <c r="D12" i="19"/>
  <c r="K12" i="19" s="1"/>
  <c r="H11" i="19"/>
  <c r="I11" i="19" s="1"/>
  <c r="J11" i="19" s="1"/>
  <c r="G11" i="19"/>
  <c r="D11" i="19"/>
  <c r="K11" i="19" s="1"/>
  <c r="C30" i="18"/>
  <c r="D28" i="18"/>
  <c r="C28" i="18"/>
  <c r="C27" i="18"/>
  <c r="D27" i="18" s="1"/>
  <c r="D26" i="18"/>
  <c r="C26" i="18"/>
  <c r="D25" i="18"/>
  <c r="C25" i="18"/>
  <c r="D23" i="18"/>
  <c r="C23" i="18"/>
  <c r="C22" i="18"/>
  <c r="D22" i="18" s="1"/>
  <c r="D20" i="18"/>
  <c r="C20" i="18"/>
  <c r="D19" i="18"/>
  <c r="C19" i="18"/>
  <c r="D17" i="18"/>
  <c r="C17" i="18"/>
  <c r="C16" i="18"/>
  <c r="D16" i="18" s="1"/>
  <c r="D15" i="18"/>
  <c r="C15" i="18"/>
  <c r="D14" i="18"/>
  <c r="C14" i="18"/>
  <c r="D12" i="18"/>
  <c r="C12" i="18"/>
  <c r="C11" i="18"/>
  <c r="D11" i="18" s="1"/>
  <c r="D9" i="18"/>
  <c r="C9" i="18"/>
  <c r="D8" i="18"/>
  <c r="C8" i="18"/>
  <c r="D7" i="18"/>
  <c r="C7" i="18"/>
  <c r="C6" i="18"/>
  <c r="D6" i="18" s="1"/>
  <c r="C31" i="17"/>
  <c r="C29" i="17"/>
  <c r="D29" i="17" s="1"/>
  <c r="C28" i="17"/>
  <c r="D28" i="17" s="1"/>
  <c r="C27" i="17"/>
  <c r="D27" i="17" s="1"/>
  <c r="C26" i="17"/>
  <c r="D26" i="17" s="1"/>
  <c r="C24" i="17"/>
  <c r="D24" i="17" s="1"/>
  <c r="C21" i="17"/>
  <c r="D21" i="17" s="1"/>
  <c r="C20" i="17"/>
  <c r="D20" i="17" s="1"/>
  <c r="C18" i="17"/>
  <c r="D18" i="17" s="1"/>
  <c r="C17" i="17"/>
  <c r="D17" i="17" s="1"/>
  <c r="C16" i="17"/>
  <c r="D16" i="17" s="1"/>
  <c r="C15" i="17"/>
  <c r="D15" i="17" s="1"/>
  <c r="C14" i="17"/>
  <c r="D14" i="17" s="1"/>
  <c r="C12" i="17"/>
  <c r="D12" i="17" s="1"/>
  <c r="C11" i="17"/>
  <c r="D11" i="17" s="1"/>
  <c r="D9" i="17"/>
  <c r="C9" i="17"/>
  <c r="C8" i="17"/>
  <c r="D8" i="17" s="1"/>
  <c r="C7" i="17"/>
  <c r="D7" i="17" s="1"/>
  <c r="C6" i="17"/>
  <c r="D6" i="17" s="1"/>
  <c r="C26" i="16"/>
  <c r="D24" i="16"/>
  <c r="C24" i="16"/>
  <c r="D23" i="16"/>
  <c r="C23" i="16"/>
  <c r="C22" i="16"/>
  <c r="D22" i="16" s="1"/>
  <c r="D21" i="16"/>
  <c r="C21" i="16"/>
  <c r="D19" i="16"/>
  <c r="C19" i="16"/>
  <c r="D17" i="16"/>
  <c r="C17" i="16"/>
  <c r="C16" i="16"/>
  <c r="D16" i="16" s="1"/>
  <c r="D15" i="16"/>
  <c r="C15" i="16"/>
  <c r="D14" i="16"/>
  <c r="C14" i="16"/>
  <c r="D13" i="16"/>
  <c r="C13" i="16"/>
  <c r="C11" i="16"/>
  <c r="D11" i="16" s="1"/>
  <c r="D10" i="16"/>
  <c r="C10" i="16"/>
  <c r="D8" i="16"/>
  <c r="C8" i="16"/>
  <c r="D7" i="16"/>
  <c r="C7" i="16"/>
  <c r="C6" i="16"/>
  <c r="D6" i="16" s="1"/>
  <c r="C26" i="15"/>
  <c r="C24" i="15"/>
  <c r="D24" i="15" s="1"/>
  <c r="C23" i="15"/>
  <c r="D23" i="15" s="1"/>
  <c r="D22" i="15"/>
  <c r="D21" i="15"/>
  <c r="C20" i="15"/>
  <c r="D20" i="15" s="1"/>
  <c r="D18" i="15"/>
  <c r="D17" i="15"/>
  <c r="D14" i="15"/>
  <c r="D12" i="15"/>
  <c r="D10" i="15"/>
  <c r="D8" i="15"/>
  <c r="C8" i="15"/>
  <c r="D7" i="15"/>
  <c r="C7" i="15"/>
  <c r="D6" i="15"/>
  <c r="C6" i="15"/>
  <c r="C30" i="14"/>
  <c r="C28" i="14"/>
  <c r="D28" i="14" s="1"/>
  <c r="C27" i="14"/>
  <c r="D27" i="14" s="1"/>
  <c r="C26" i="14"/>
  <c r="D26" i="14" s="1"/>
  <c r="C25" i="14"/>
  <c r="D25" i="14" s="1"/>
  <c r="C23" i="14"/>
  <c r="D23" i="14" s="1"/>
  <c r="C22" i="14"/>
  <c r="D22" i="14" s="1"/>
  <c r="C20" i="14"/>
  <c r="D20" i="14" s="1"/>
  <c r="C17" i="14"/>
  <c r="D17" i="14" s="1"/>
  <c r="C16" i="14"/>
  <c r="D16" i="14" s="1"/>
  <c r="C15" i="14"/>
  <c r="D15" i="14" s="1"/>
  <c r="C14" i="14"/>
  <c r="D14" i="14" s="1"/>
  <c r="C12" i="14"/>
  <c r="D12" i="14" s="1"/>
  <c r="C11" i="14"/>
  <c r="D11" i="14" s="1"/>
  <c r="C9" i="14"/>
  <c r="D9" i="14" s="1"/>
  <c r="D8" i="14"/>
  <c r="C8" i="14"/>
  <c r="C7" i="14"/>
  <c r="D7" i="14" s="1"/>
  <c r="C6" i="14"/>
  <c r="D6" i="14" s="1"/>
  <c r="C52" i="13"/>
  <c r="D50" i="13"/>
  <c r="C50" i="13"/>
  <c r="D49" i="13"/>
  <c r="C49" i="13"/>
  <c r="D48" i="13"/>
  <c r="C48" i="13"/>
  <c r="C46" i="13"/>
  <c r="D46" i="13" s="1"/>
  <c r="D44" i="13"/>
  <c r="C44" i="13"/>
  <c r="D43" i="13"/>
  <c r="C43" i="13"/>
  <c r="D42" i="13"/>
  <c r="C42" i="13"/>
  <c r="C41" i="13"/>
  <c r="D41" i="13" s="1"/>
  <c r="D40" i="13"/>
  <c r="C40" i="13"/>
  <c r="D39" i="13"/>
  <c r="C39" i="13"/>
  <c r="D38" i="13"/>
  <c r="C38" i="13"/>
  <c r="C37" i="13"/>
  <c r="D37" i="13" s="1"/>
  <c r="C30" i="13"/>
  <c r="C28" i="13"/>
  <c r="D28" i="13" s="1"/>
  <c r="C27" i="13"/>
  <c r="D27" i="13" s="1"/>
  <c r="C26" i="13"/>
  <c r="D26" i="13" s="1"/>
  <c r="G25" i="13"/>
  <c r="D25" i="13"/>
  <c r="C25" i="13"/>
  <c r="D24" i="13"/>
  <c r="C23" i="13"/>
  <c r="D23" i="13" s="1"/>
  <c r="D22" i="13"/>
  <c r="C22" i="13"/>
  <c r="C21" i="13"/>
  <c r="D21" i="13" s="1"/>
  <c r="C19" i="13"/>
  <c r="D19" i="13" s="1"/>
  <c r="C17" i="13"/>
  <c r="D17" i="13" s="1"/>
  <c r="D16" i="13"/>
  <c r="D15" i="13"/>
  <c r="C15" i="13"/>
  <c r="D14" i="13"/>
  <c r="C14" i="13"/>
  <c r="D13" i="13"/>
  <c r="C13" i="13"/>
  <c r="D12" i="13"/>
  <c r="D11" i="13"/>
  <c r="D10" i="13"/>
  <c r="C9" i="13"/>
  <c r="D9" i="13" s="1"/>
  <c r="C8" i="13"/>
  <c r="D8" i="13" s="1"/>
  <c r="C7" i="13"/>
  <c r="D7" i="13" s="1"/>
  <c r="D6" i="13"/>
  <c r="C29" i="12"/>
  <c r="D23" i="12"/>
  <c r="C23" i="12"/>
  <c r="D12" i="12"/>
  <c r="C12" i="12"/>
  <c r="I185" i="11"/>
  <c r="J185" i="11" s="1"/>
  <c r="H185" i="11"/>
  <c r="F185" i="11"/>
  <c r="G185" i="11" s="1"/>
  <c r="C185" i="11"/>
  <c r="F184" i="11"/>
  <c r="G184" i="11" s="1"/>
  <c r="H184" i="11" s="1"/>
  <c r="I184" i="11" s="1"/>
  <c r="J184" i="11" s="1"/>
  <c r="C184" i="11"/>
  <c r="G175" i="11"/>
  <c r="H175" i="11" s="1"/>
  <c r="I175" i="11" s="1"/>
  <c r="J175" i="11" s="1"/>
  <c r="F175" i="11"/>
  <c r="C175" i="11"/>
  <c r="F174" i="11"/>
  <c r="G174" i="11" s="1"/>
  <c r="H174" i="11" s="1"/>
  <c r="I174" i="11" s="1"/>
  <c r="C174" i="11"/>
  <c r="J174" i="11" s="1"/>
  <c r="H173" i="11"/>
  <c r="I173" i="11" s="1"/>
  <c r="J173" i="11" s="1"/>
  <c r="F173" i="11"/>
  <c r="G173" i="11" s="1"/>
  <c r="C173" i="11"/>
  <c r="H164" i="11"/>
  <c r="I164" i="11" s="1"/>
  <c r="J164" i="11" s="1"/>
  <c r="F164" i="11"/>
  <c r="G164" i="11" s="1"/>
  <c r="C164" i="11"/>
  <c r="H163" i="11"/>
  <c r="I163" i="11" s="1"/>
  <c r="J163" i="11" s="1"/>
  <c r="F163" i="11"/>
  <c r="G163" i="11" s="1"/>
  <c r="C163" i="11"/>
  <c r="F162" i="11"/>
  <c r="G162" i="11" s="1"/>
  <c r="H162" i="11" s="1"/>
  <c r="I162" i="11" s="1"/>
  <c r="J162" i="11" s="1"/>
  <c r="F159" i="11" s="1"/>
  <c r="I159" i="11" s="1"/>
  <c r="C162" i="11"/>
  <c r="F151" i="11"/>
  <c r="G151" i="11" s="1"/>
  <c r="H151" i="11" s="1"/>
  <c r="I151" i="11" s="1"/>
  <c r="J151" i="11" s="1"/>
  <c r="C151" i="11"/>
  <c r="F150" i="11"/>
  <c r="G150" i="11" s="1"/>
  <c r="H150" i="11" s="1"/>
  <c r="I150" i="11" s="1"/>
  <c r="C150" i="11"/>
  <c r="F149" i="11"/>
  <c r="G149" i="11" s="1"/>
  <c r="H149" i="11" s="1"/>
  <c r="I149" i="11" s="1"/>
  <c r="J149" i="11" s="1"/>
  <c r="C149" i="11"/>
  <c r="F148" i="11"/>
  <c r="G148" i="11" s="1"/>
  <c r="H148" i="11" s="1"/>
  <c r="I148" i="11" s="1"/>
  <c r="J148" i="11" s="1"/>
  <c r="C148" i="11"/>
  <c r="G147" i="11"/>
  <c r="H147" i="11" s="1"/>
  <c r="I147" i="11" s="1"/>
  <c r="J147" i="11" s="1"/>
  <c r="F147" i="11"/>
  <c r="C147" i="11"/>
  <c r="F138" i="11"/>
  <c r="G138" i="11" s="1"/>
  <c r="H138" i="11" s="1"/>
  <c r="I138" i="11" s="1"/>
  <c r="J138" i="11" s="1"/>
  <c r="C138" i="11"/>
  <c r="F137" i="11"/>
  <c r="G137" i="11" s="1"/>
  <c r="H137" i="11" s="1"/>
  <c r="I137" i="11" s="1"/>
  <c r="J137" i="11" s="1"/>
  <c r="C137" i="11"/>
  <c r="J136" i="11"/>
  <c r="H136" i="11"/>
  <c r="I136" i="11" s="1"/>
  <c r="F136" i="11"/>
  <c r="G136" i="11" s="1"/>
  <c r="C136" i="11"/>
  <c r="H135" i="11"/>
  <c r="I135" i="11" s="1"/>
  <c r="J135" i="11" s="1"/>
  <c r="F135" i="11"/>
  <c r="G135" i="11" s="1"/>
  <c r="C135" i="11"/>
  <c r="G134" i="11"/>
  <c r="H134" i="11" s="1"/>
  <c r="I134" i="11" s="1"/>
  <c r="F134" i="11"/>
  <c r="C134" i="11"/>
  <c r="F124" i="11"/>
  <c r="G124" i="11" s="1"/>
  <c r="H124" i="11" s="1"/>
  <c r="I124" i="11" s="1"/>
  <c r="C124" i="11"/>
  <c r="J123" i="11"/>
  <c r="F123" i="11"/>
  <c r="G123" i="11" s="1"/>
  <c r="H123" i="11" s="1"/>
  <c r="I123" i="11" s="1"/>
  <c r="C123" i="11"/>
  <c r="H122" i="11"/>
  <c r="I122" i="11" s="1"/>
  <c r="J122" i="11" s="1"/>
  <c r="F122" i="11"/>
  <c r="G122" i="11" s="1"/>
  <c r="C122" i="11"/>
  <c r="F113" i="11"/>
  <c r="G113" i="11" s="1"/>
  <c r="H113" i="11" s="1"/>
  <c r="I113" i="11" s="1"/>
  <c r="J113" i="11" s="1"/>
  <c r="C113" i="11"/>
  <c r="F112" i="11"/>
  <c r="G112" i="11" s="1"/>
  <c r="H112" i="11" s="1"/>
  <c r="I112" i="11" s="1"/>
  <c r="J112" i="11" s="1"/>
  <c r="C112" i="11"/>
  <c r="F111" i="11"/>
  <c r="G111" i="11" s="1"/>
  <c r="H111" i="11" s="1"/>
  <c r="I111" i="11" s="1"/>
  <c r="C111" i="11"/>
  <c r="J111" i="11" s="1"/>
  <c r="J110" i="11"/>
  <c r="F110" i="11"/>
  <c r="G110" i="11" s="1"/>
  <c r="H110" i="11" s="1"/>
  <c r="I110" i="11" s="1"/>
  <c r="C110" i="11"/>
  <c r="F109" i="11"/>
  <c r="G109" i="11" s="1"/>
  <c r="H109" i="11" s="1"/>
  <c r="I109" i="11" s="1"/>
  <c r="J109" i="11" s="1"/>
  <c r="C109" i="11"/>
  <c r="F108" i="11"/>
  <c r="G108" i="11" s="1"/>
  <c r="H108" i="11" s="1"/>
  <c r="I108" i="11" s="1"/>
  <c r="J108" i="11" s="1"/>
  <c r="C108" i="11"/>
  <c r="F107" i="11"/>
  <c r="G107" i="11" s="1"/>
  <c r="H107" i="11" s="1"/>
  <c r="I107" i="11" s="1"/>
  <c r="C107" i="11"/>
  <c r="J107" i="11" s="1"/>
  <c r="G106" i="11"/>
  <c r="H106" i="11" s="1"/>
  <c r="I106" i="11" s="1"/>
  <c r="J106" i="11" s="1"/>
  <c r="F106" i="11"/>
  <c r="C106" i="11"/>
  <c r="F105" i="11"/>
  <c r="G105" i="11" s="1"/>
  <c r="H105" i="11" s="1"/>
  <c r="I105" i="11" s="1"/>
  <c r="C105" i="11"/>
  <c r="J96" i="11"/>
  <c r="I96" i="11"/>
  <c r="F96" i="11"/>
  <c r="G96" i="11" s="1"/>
  <c r="H96" i="11" s="1"/>
  <c r="C96" i="11"/>
  <c r="F95" i="11"/>
  <c r="G95" i="11" s="1"/>
  <c r="H95" i="11" s="1"/>
  <c r="I95" i="11" s="1"/>
  <c r="J95" i="11" s="1"/>
  <c r="C95" i="11"/>
  <c r="F94" i="11"/>
  <c r="G94" i="11" s="1"/>
  <c r="H94" i="11" s="1"/>
  <c r="I94" i="11" s="1"/>
  <c r="C94" i="11"/>
  <c r="G93" i="11"/>
  <c r="H93" i="11" s="1"/>
  <c r="I93" i="11" s="1"/>
  <c r="F93" i="11"/>
  <c r="C93" i="11"/>
  <c r="J93" i="11" s="1"/>
  <c r="F92" i="11"/>
  <c r="G92" i="11" s="1"/>
  <c r="H92" i="11" s="1"/>
  <c r="I92" i="11" s="1"/>
  <c r="C92" i="11"/>
  <c r="I91" i="11"/>
  <c r="J91" i="11" s="1"/>
  <c r="H91" i="11"/>
  <c r="G91" i="11"/>
  <c r="F91" i="11"/>
  <c r="C91" i="11"/>
  <c r="I82" i="11"/>
  <c r="H82" i="11"/>
  <c r="G82" i="11"/>
  <c r="F82" i="11"/>
  <c r="C82" i="11"/>
  <c r="J82" i="11" s="1"/>
  <c r="F81" i="11"/>
  <c r="G81" i="11" s="1"/>
  <c r="H81" i="11" s="1"/>
  <c r="I81" i="11" s="1"/>
  <c r="C81" i="11"/>
  <c r="J81" i="11" s="1"/>
  <c r="I80" i="11"/>
  <c r="J80" i="11" s="1"/>
  <c r="G80" i="11"/>
  <c r="H80" i="11" s="1"/>
  <c r="F80" i="11"/>
  <c r="C80" i="11"/>
  <c r="G79" i="11"/>
  <c r="H79" i="11" s="1"/>
  <c r="I79" i="11" s="1"/>
  <c r="F79" i="11"/>
  <c r="C79" i="11"/>
  <c r="I78" i="11"/>
  <c r="F78" i="11"/>
  <c r="G78" i="11" s="1"/>
  <c r="H78" i="11" s="1"/>
  <c r="C78" i="11"/>
  <c r="L71" i="11"/>
  <c r="L69" i="11"/>
  <c r="G69" i="11"/>
  <c r="H69" i="11" s="1"/>
  <c r="I69" i="11" s="1"/>
  <c r="J69" i="11" s="1"/>
  <c r="F69" i="11"/>
  <c r="C69" i="11"/>
  <c r="G68" i="11"/>
  <c r="H68" i="11" s="1"/>
  <c r="I68" i="11" s="1"/>
  <c r="F68" i="11"/>
  <c r="C68" i="11"/>
  <c r="I67" i="11"/>
  <c r="G67" i="11"/>
  <c r="H67" i="11" s="1"/>
  <c r="F67" i="11"/>
  <c r="C67" i="11"/>
  <c r="F59" i="11"/>
  <c r="G59" i="11" s="1"/>
  <c r="H59" i="11" s="1"/>
  <c r="I59" i="11" s="1"/>
  <c r="C59" i="11"/>
  <c r="J59" i="11" s="1"/>
  <c r="I58" i="11"/>
  <c r="J58" i="11" s="1"/>
  <c r="G58" i="11"/>
  <c r="H58" i="11" s="1"/>
  <c r="F58" i="11"/>
  <c r="C58" i="11"/>
  <c r="G57" i="11"/>
  <c r="H57" i="11" s="1"/>
  <c r="I57" i="11" s="1"/>
  <c r="F57" i="11"/>
  <c r="C57" i="11"/>
  <c r="I56" i="11"/>
  <c r="F56" i="11"/>
  <c r="G56" i="11" s="1"/>
  <c r="H56" i="11" s="1"/>
  <c r="C56" i="11"/>
  <c r="G48" i="11"/>
  <c r="H48" i="11" s="1"/>
  <c r="I48" i="11" s="1"/>
  <c r="F48" i="11"/>
  <c r="C48" i="11"/>
  <c r="F47" i="11"/>
  <c r="G47" i="11" s="1"/>
  <c r="H47" i="11" s="1"/>
  <c r="I47" i="11" s="1"/>
  <c r="C47" i="11"/>
  <c r="I46" i="11"/>
  <c r="J46" i="11" s="1"/>
  <c r="G46" i="11"/>
  <c r="H46" i="11" s="1"/>
  <c r="F46" i="11"/>
  <c r="C46" i="11"/>
  <c r="G37" i="11"/>
  <c r="H37" i="11" s="1"/>
  <c r="I37" i="11" s="1"/>
  <c r="J37" i="11" s="1"/>
  <c r="F37" i="11"/>
  <c r="C37" i="11"/>
  <c r="G36" i="11"/>
  <c r="H36" i="11" s="1"/>
  <c r="I36" i="11" s="1"/>
  <c r="F36" i="11"/>
  <c r="C36" i="11"/>
  <c r="J36" i="11" s="1"/>
  <c r="G35" i="11"/>
  <c r="H35" i="11" s="1"/>
  <c r="I35" i="11" s="1"/>
  <c r="F35" i="11"/>
  <c r="C35" i="11"/>
  <c r="F34" i="11"/>
  <c r="G34" i="11" s="1"/>
  <c r="H34" i="11" s="1"/>
  <c r="I34" i="11" s="1"/>
  <c r="C34" i="11"/>
  <c r="G33" i="11"/>
  <c r="H33" i="11" s="1"/>
  <c r="I33" i="11" s="1"/>
  <c r="F33" i="11"/>
  <c r="C33" i="11"/>
  <c r="J33" i="11" s="1"/>
  <c r="G32" i="11"/>
  <c r="H32" i="11" s="1"/>
  <c r="I32" i="11" s="1"/>
  <c r="F32" i="11"/>
  <c r="C32" i="11"/>
  <c r="G31" i="11"/>
  <c r="H31" i="11" s="1"/>
  <c r="I31" i="11" s="1"/>
  <c r="F31" i="11"/>
  <c r="C31" i="11"/>
  <c r="F30" i="11"/>
  <c r="G30" i="11" s="1"/>
  <c r="H30" i="11" s="1"/>
  <c r="I30" i="11" s="1"/>
  <c r="C30" i="11"/>
  <c r="J29" i="11"/>
  <c r="G29" i="11"/>
  <c r="H29" i="11" s="1"/>
  <c r="I29" i="11" s="1"/>
  <c r="F29" i="11"/>
  <c r="C29" i="11"/>
  <c r="I28" i="11"/>
  <c r="J28" i="11" s="1"/>
  <c r="H28" i="11"/>
  <c r="G28" i="11"/>
  <c r="F28" i="11"/>
  <c r="C28" i="11"/>
  <c r="F27" i="11"/>
  <c r="G27" i="11" s="1"/>
  <c r="H27" i="11" s="1"/>
  <c r="I27" i="11" s="1"/>
  <c r="C27" i="11"/>
  <c r="J27" i="11" s="1"/>
  <c r="H18" i="11"/>
  <c r="I18" i="11" s="1"/>
  <c r="F18" i="11"/>
  <c r="G18" i="11" s="1"/>
  <c r="C18" i="11"/>
  <c r="F17" i="11"/>
  <c r="G17" i="11" s="1"/>
  <c r="H17" i="11" s="1"/>
  <c r="I17" i="11" s="1"/>
  <c r="C17" i="11"/>
  <c r="J17" i="11" s="1"/>
  <c r="J16" i="11"/>
  <c r="G16" i="11"/>
  <c r="H16" i="11" s="1"/>
  <c r="I16" i="11" s="1"/>
  <c r="F16" i="11"/>
  <c r="C16" i="11"/>
  <c r="H15" i="11"/>
  <c r="I15" i="11" s="1"/>
  <c r="J15" i="11" s="1"/>
  <c r="G15" i="11"/>
  <c r="F15" i="11"/>
  <c r="C15" i="11"/>
  <c r="H14" i="11"/>
  <c r="I14" i="11" s="1"/>
  <c r="F14" i="11"/>
  <c r="G14" i="11" s="1"/>
  <c r="C14" i="11"/>
  <c r="I13" i="11"/>
  <c r="F13" i="11"/>
  <c r="G13" i="11" s="1"/>
  <c r="H13" i="11" s="1"/>
  <c r="C13" i="11"/>
  <c r="F12" i="11"/>
  <c r="G12" i="11" s="1"/>
  <c r="H12" i="11" s="1"/>
  <c r="I12" i="11" s="1"/>
  <c r="C12" i="11"/>
  <c r="G185" i="10"/>
  <c r="H185" i="10" s="1"/>
  <c r="I185" i="10" s="1"/>
  <c r="J185" i="10" s="1"/>
  <c r="F185" i="10"/>
  <c r="C185" i="10"/>
  <c r="G184" i="10"/>
  <c r="H184" i="10" s="1"/>
  <c r="I184" i="10" s="1"/>
  <c r="F184" i="10"/>
  <c r="C184" i="10"/>
  <c r="J184" i="10" s="1"/>
  <c r="F181" i="10" s="1"/>
  <c r="I181" i="10" s="1"/>
  <c r="G175" i="10"/>
  <c r="H175" i="10" s="1"/>
  <c r="I175" i="10" s="1"/>
  <c r="J175" i="10" s="1"/>
  <c r="F175" i="10"/>
  <c r="C175" i="10"/>
  <c r="H174" i="10"/>
  <c r="I174" i="10" s="1"/>
  <c r="J174" i="10" s="1"/>
  <c r="F174" i="10"/>
  <c r="G174" i="10" s="1"/>
  <c r="C174" i="10"/>
  <c r="I173" i="10"/>
  <c r="F173" i="10"/>
  <c r="G173" i="10" s="1"/>
  <c r="H173" i="10" s="1"/>
  <c r="C173" i="10"/>
  <c r="F164" i="10"/>
  <c r="G164" i="10" s="1"/>
  <c r="H164" i="10" s="1"/>
  <c r="I164" i="10" s="1"/>
  <c r="C164" i="10"/>
  <c r="F163" i="10"/>
  <c r="G163" i="10" s="1"/>
  <c r="H163" i="10" s="1"/>
  <c r="I163" i="10" s="1"/>
  <c r="C163" i="10"/>
  <c r="I162" i="10"/>
  <c r="J162" i="10" s="1"/>
  <c r="G162" i="10"/>
  <c r="H162" i="10" s="1"/>
  <c r="F162" i="10"/>
  <c r="C162" i="10"/>
  <c r="G151" i="10"/>
  <c r="H151" i="10" s="1"/>
  <c r="I151" i="10" s="1"/>
  <c r="J151" i="10" s="1"/>
  <c r="F151" i="10"/>
  <c r="C151" i="10"/>
  <c r="G150" i="10"/>
  <c r="H150" i="10" s="1"/>
  <c r="I150" i="10" s="1"/>
  <c r="J150" i="10" s="1"/>
  <c r="F150" i="10"/>
  <c r="C150" i="10"/>
  <c r="F149" i="10"/>
  <c r="G149" i="10" s="1"/>
  <c r="H149" i="10" s="1"/>
  <c r="I149" i="10" s="1"/>
  <c r="C149" i="10"/>
  <c r="J149" i="10" s="1"/>
  <c r="G148" i="10"/>
  <c r="H148" i="10" s="1"/>
  <c r="I148" i="10" s="1"/>
  <c r="J148" i="10" s="1"/>
  <c r="F148" i="10"/>
  <c r="C148" i="10"/>
  <c r="H147" i="10"/>
  <c r="I147" i="10" s="1"/>
  <c r="G147" i="10"/>
  <c r="F147" i="10"/>
  <c r="C147" i="10"/>
  <c r="J147" i="10" s="1"/>
  <c r="G138" i="10"/>
  <c r="H138" i="10" s="1"/>
  <c r="I138" i="10" s="1"/>
  <c r="F138" i="10"/>
  <c r="C138" i="10"/>
  <c r="H137" i="10"/>
  <c r="I137" i="10" s="1"/>
  <c r="G137" i="10"/>
  <c r="F137" i="10"/>
  <c r="C137" i="10"/>
  <c r="J137" i="10" s="1"/>
  <c r="F136" i="10"/>
  <c r="G136" i="10" s="1"/>
  <c r="H136" i="10" s="1"/>
  <c r="I136" i="10" s="1"/>
  <c r="C136" i="10"/>
  <c r="J136" i="10" s="1"/>
  <c r="J135" i="10"/>
  <c r="F135" i="10"/>
  <c r="G135" i="10" s="1"/>
  <c r="H135" i="10" s="1"/>
  <c r="I135" i="10" s="1"/>
  <c r="C135" i="10"/>
  <c r="G134" i="10"/>
  <c r="H134" i="10" s="1"/>
  <c r="I134" i="10" s="1"/>
  <c r="F134" i="10"/>
  <c r="C134" i="10"/>
  <c r="J134" i="10" s="1"/>
  <c r="H124" i="10"/>
  <c r="I124" i="10" s="1"/>
  <c r="G124" i="10"/>
  <c r="F124" i="10"/>
  <c r="C124" i="10"/>
  <c r="I123" i="10"/>
  <c r="J123" i="10" s="1"/>
  <c r="F123" i="10"/>
  <c r="G123" i="10" s="1"/>
  <c r="H123" i="10" s="1"/>
  <c r="C123" i="10"/>
  <c r="I122" i="10"/>
  <c r="F122" i="10"/>
  <c r="G122" i="10" s="1"/>
  <c r="H122" i="10" s="1"/>
  <c r="C122" i="10"/>
  <c r="H113" i="10"/>
  <c r="I113" i="10" s="1"/>
  <c r="G113" i="10"/>
  <c r="F113" i="10"/>
  <c r="C113" i="10"/>
  <c r="F112" i="10"/>
  <c r="G112" i="10" s="1"/>
  <c r="H112" i="10" s="1"/>
  <c r="I112" i="10" s="1"/>
  <c r="C112" i="10"/>
  <c r="I111" i="10"/>
  <c r="H111" i="10"/>
  <c r="G111" i="10"/>
  <c r="F111" i="10"/>
  <c r="C111" i="10"/>
  <c r="J111" i="10" s="1"/>
  <c r="G110" i="10"/>
  <c r="H110" i="10" s="1"/>
  <c r="I110" i="10" s="1"/>
  <c r="J110" i="10" s="1"/>
  <c r="F110" i="10"/>
  <c r="C110" i="10"/>
  <c r="F109" i="10"/>
  <c r="G109" i="10" s="1"/>
  <c r="H109" i="10" s="1"/>
  <c r="I109" i="10" s="1"/>
  <c r="C109" i="10"/>
  <c r="G108" i="10"/>
  <c r="H108" i="10" s="1"/>
  <c r="I108" i="10" s="1"/>
  <c r="J108" i="10" s="1"/>
  <c r="F108" i="10"/>
  <c r="C108" i="10"/>
  <c r="J107" i="10"/>
  <c r="H107" i="10"/>
  <c r="I107" i="10" s="1"/>
  <c r="F107" i="10"/>
  <c r="G107" i="10" s="1"/>
  <c r="C107" i="10"/>
  <c r="F106" i="10"/>
  <c r="G106" i="10" s="1"/>
  <c r="H106" i="10" s="1"/>
  <c r="I106" i="10" s="1"/>
  <c r="J106" i="10" s="1"/>
  <c r="C106" i="10"/>
  <c r="H105" i="10"/>
  <c r="I105" i="10" s="1"/>
  <c r="G105" i="10"/>
  <c r="F105" i="10"/>
  <c r="C105" i="10"/>
  <c r="J105" i="10" s="1"/>
  <c r="F96" i="10"/>
  <c r="G96" i="10" s="1"/>
  <c r="H96" i="10" s="1"/>
  <c r="I96" i="10" s="1"/>
  <c r="C96" i="10"/>
  <c r="F95" i="10"/>
  <c r="G95" i="10" s="1"/>
  <c r="H95" i="10" s="1"/>
  <c r="I95" i="10" s="1"/>
  <c r="C95" i="10"/>
  <c r="F94" i="10"/>
  <c r="G94" i="10" s="1"/>
  <c r="H94" i="10" s="1"/>
  <c r="I94" i="10" s="1"/>
  <c r="J94" i="10" s="1"/>
  <c r="C94" i="10"/>
  <c r="G93" i="10"/>
  <c r="H93" i="10" s="1"/>
  <c r="I93" i="10" s="1"/>
  <c r="J93" i="10" s="1"/>
  <c r="F93" i="10"/>
  <c r="C93" i="10"/>
  <c r="I92" i="10"/>
  <c r="G92" i="10"/>
  <c r="H92" i="10" s="1"/>
  <c r="F92" i="10"/>
  <c r="C92" i="10"/>
  <c r="J92" i="10" s="1"/>
  <c r="F91" i="10"/>
  <c r="G91" i="10" s="1"/>
  <c r="H91" i="10" s="1"/>
  <c r="I91" i="10" s="1"/>
  <c r="J91" i="10" s="1"/>
  <c r="C91" i="10"/>
  <c r="F82" i="10"/>
  <c r="G82" i="10" s="1"/>
  <c r="H82" i="10" s="1"/>
  <c r="I82" i="10" s="1"/>
  <c r="C82" i="10"/>
  <c r="J82" i="10" s="1"/>
  <c r="I81" i="10"/>
  <c r="J81" i="10" s="1"/>
  <c r="F81" i="10"/>
  <c r="G81" i="10" s="1"/>
  <c r="H81" i="10" s="1"/>
  <c r="C81" i="10"/>
  <c r="H80" i="10"/>
  <c r="I80" i="10" s="1"/>
  <c r="J80" i="10" s="1"/>
  <c r="F80" i="10"/>
  <c r="G80" i="10" s="1"/>
  <c r="C80" i="10"/>
  <c r="H79" i="10"/>
  <c r="I79" i="10" s="1"/>
  <c r="G79" i="10"/>
  <c r="F79" i="10"/>
  <c r="C79" i="10"/>
  <c r="J79" i="10" s="1"/>
  <c r="G78" i="10"/>
  <c r="H78" i="10" s="1"/>
  <c r="I78" i="10" s="1"/>
  <c r="J78" i="10" s="1"/>
  <c r="F78" i="10"/>
  <c r="C78" i="10"/>
  <c r="G69" i="10"/>
  <c r="H69" i="10" s="1"/>
  <c r="I69" i="10" s="1"/>
  <c r="F69" i="10"/>
  <c r="C69" i="10"/>
  <c r="I68" i="10"/>
  <c r="H68" i="10"/>
  <c r="F68" i="10"/>
  <c r="G68" i="10" s="1"/>
  <c r="C68" i="10"/>
  <c r="F67" i="10"/>
  <c r="G67" i="10" s="1"/>
  <c r="H67" i="10" s="1"/>
  <c r="I67" i="10" s="1"/>
  <c r="J67" i="10" s="1"/>
  <c r="C67" i="10"/>
  <c r="M60" i="10"/>
  <c r="J59" i="10"/>
  <c r="H59" i="10"/>
  <c r="I59" i="10" s="1"/>
  <c r="G59" i="10"/>
  <c r="F59" i="10"/>
  <c r="C59" i="10"/>
  <c r="J58" i="10"/>
  <c r="F58" i="10"/>
  <c r="G58" i="10" s="1"/>
  <c r="H58" i="10" s="1"/>
  <c r="I58" i="10" s="1"/>
  <c r="C58" i="10"/>
  <c r="H57" i="10"/>
  <c r="I57" i="10" s="1"/>
  <c r="G57" i="10"/>
  <c r="F57" i="10"/>
  <c r="C57" i="10"/>
  <c r="F56" i="10"/>
  <c r="G56" i="10" s="1"/>
  <c r="H56" i="10" s="1"/>
  <c r="I56" i="10" s="1"/>
  <c r="J56" i="10" s="1"/>
  <c r="C56" i="10"/>
  <c r="I48" i="10"/>
  <c r="J48" i="10" s="1"/>
  <c r="F48" i="10"/>
  <c r="G48" i="10" s="1"/>
  <c r="H48" i="10" s="1"/>
  <c r="C48" i="10"/>
  <c r="J47" i="10"/>
  <c r="G47" i="10"/>
  <c r="H47" i="10" s="1"/>
  <c r="I47" i="10" s="1"/>
  <c r="F47" i="10"/>
  <c r="C47" i="10"/>
  <c r="F46" i="10"/>
  <c r="G46" i="10" s="1"/>
  <c r="H46" i="10" s="1"/>
  <c r="I46" i="10" s="1"/>
  <c r="C46" i="10"/>
  <c r="J46" i="10" s="1"/>
  <c r="F43" i="10" s="1"/>
  <c r="I43" i="10" s="1"/>
  <c r="A39" i="10"/>
  <c r="J37" i="10"/>
  <c r="H37" i="10"/>
  <c r="I37" i="10" s="1"/>
  <c r="G37" i="10"/>
  <c r="F37" i="10"/>
  <c r="C37" i="10"/>
  <c r="H36" i="10"/>
  <c r="I36" i="10" s="1"/>
  <c r="G36" i="10"/>
  <c r="F36" i="10"/>
  <c r="C36" i="10"/>
  <c r="J36" i="10" s="1"/>
  <c r="F35" i="10"/>
  <c r="G35" i="10" s="1"/>
  <c r="H35" i="10" s="1"/>
  <c r="I35" i="10" s="1"/>
  <c r="C35" i="10"/>
  <c r="J35" i="10" s="1"/>
  <c r="J34" i="10"/>
  <c r="H34" i="10"/>
  <c r="I34" i="10" s="1"/>
  <c r="F34" i="10"/>
  <c r="G34" i="10" s="1"/>
  <c r="C34" i="10"/>
  <c r="J33" i="10"/>
  <c r="G33" i="10"/>
  <c r="H33" i="10" s="1"/>
  <c r="I33" i="10" s="1"/>
  <c r="F33" i="10"/>
  <c r="C33" i="10"/>
  <c r="H32" i="10"/>
  <c r="I32" i="10" s="1"/>
  <c r="F32" i="10"/>
  <c r="G32" i="10" s="1"/>
  <c r="C32" i="10"/>
  <c r="J32" i="10" s="1"/>
  <c r="J31" i="10"/>
  <c r="F31" i="10"/>
  <c r="G31" i="10" s="1"/>
  <c r="H31" i="10" s="1"/>
  <c r="I31" i="10" s="1"/>
  <c r="C31" i="10"/>
  <c r="H30" i="10"/>
  <c r="I30" i="10" s="1"/>
  <c r="J30" i="10" s="1"/>
  <c r="F30" i="10"/>
  <c r="G30" i="10" s="1"/>
  <c r="C30" i="10"/>
  <c r="G29" i="10"/>
  <c r="H29" i="10" s="1"/>
  <c r="I29" i="10" s="1"/>
  <c r="J29" i="10" s="1"/>
  <c r="F29" i="10"/>
  <c r="C29" i="10"/>
  <c r="G28" i="10"/>
  <c r="H28" i="10" s="1"/>
  <c r="I28" i="10" s="1"/>
  <c r="F28" i="10"/>
  <c r="C28" i="10"/>
  <c r="J27" i="10"/>
  <c r="F27" i="10"/>
  <c r="G27" i="10" s="1"/>
  <c r="H27" i="10" s="1"/>
  <c r="I27" i="10" s="1"/>
  <c r="C27" i="10"/>
  <c r="F15" i="10"/>
  <c r="G15" i="10" s="1"/>
  <c r="H15" i="10" s="1"/>
  <c r="I15" i="10" s="1"/>
  <c r="J15" i="10" s="1"/>
  <c r="C15" i="10"/>
  <c r="I14" i="10"/>
  <c r="H14" i="10"/>
  <c r="F14" i="10"/>
  <c r="G14" i="10" s="1"/>
  <c r="C14" i="10"/>
  <c r="J14" i="10" s="1"/>
  <c r="G13" i="10"/>
  <c r="H13" i="10" s="1"/>
  <c r="I13" i="10" s="1"/>
  <c r="J13" i="10" s="1"/>
  <c r="F13" i="10"/>
  <c r="C13" i="10"/>
  <c r="F12" i="10"/>
  <c r="H12" i="10" s="1"/>
  <c r="I12" i="10" s="1"/>
  <c r="C12" i="10"/>
  <c r="C30" i="8"/>
  <c r="C28" i="8"/>
  <c r="D28" i="8" s="1"/>
  <c r="D27" i="8"/>
  <c r="C27" i="8"/>
  <c r="D26" i="8"/>
  <c r="C26" i="8"/>
  <c r="C25" i="8"/>
  <c r="D25" i="8" s="1"/>
  <c r="D23" i="8"/>
  <c r="C23" i="8"/>
  <c r="D22" i="8"/>
  <c r="C22" i="8"/>
  <c r="D20" i="8"/>
  <c r="C20" i="8"/>
  <c r="D17" i="8"/>
  <c r="C17" i="8"/>
  <c r="D16" i="8"/>
  <c r="C16" i="8"/>
  <c r="D15" i="8"/>
  <c r="C15" i="8"/>
  <c r="C14" i="8"/>
  <c r="D14" i="8" s="1"/>
  <c r="C12" i="8"/>
  <c r="D12" i="8" s="1"/>
  <c r="D11" i="8"/>
  <c r="C11" i="8"/>
  <c r="D9" i="8"/>
  <c r="C8" i="8"/>
  <c r="D8" i="8" s="1"/>
  <c r="D7" i="8"/>
  <c r="C7" i="8"/>
  <c r="C6" i="8"/>
  <c r="D6" i="8" s="1"/>
  <c r="J223" i="7"/>
  <c r="K223" i="7" s="1"/>
  <c r="G223" i="7"/>
  <c r="H223" i="7" s="1"/>
  <c r="I223" i="7" s="1"/>
  <c r="D223" i="7"/>
  <c r="K222" i="7"/>
  <c r="J222" i="7"/>
  <c r="H222" i="7"/>
  <c r="I222" i="7" s="1"/>
  <c r="G222" i="7"/>
  <c r="D222" i="7"/>
  <c r="I221" i="7"/>
  <c r="J221" i="7" s="1"/>
  <c r="K221" i="7" s="1"/>
  <c r="H221" i="7"/>
  <c r="G221" i="7"/>
  <c r="D221" i="7"/>
  <c r="G220" i="7"/>
  <c r="H220" i="7" s="1"/>
  <c r="I220" i="7" s="1"/>
  <c r="J220" i="7" s="1"/>
  <c r="D220" i="7"/>
  <c r="K220" i="7" s="1"/>
  <c r="H209" i="7"/>
  <c r="I209" i="7" s="1"/>
  <c r="J209" i="7" s="1"/>
  <c r="G209" i="7"/>
  <c r="D209" i="7"/>
  <c r="G208" i="7"/>
  <c r="H208" i="7" s="1"/>
  <c r="I208" i="7" s="1"/>
  <c r="J208" i="7" s="1"/>
  <c r="D208" i="7"/>
  <c r="K208" i="7" s="1"/>
  <c r="J207" i="7"/>
  <c r="K207" i="7" s="1"/>
  <c r="I207" i="7"/>
  <c r="H207" i="7"/>
  <c r="G207" i="7"/>
  <c r="D207" i="7"/>
  <c r="H206" i="7"/>
  <c r="I206" i="7" s="1"/>
  <c r="J206" i="7" s="1"/>
  <c r="K206" i="7" s="1"/>
  <c r="G206" i="7"/>
  <c r="D206" i="7"/>
  <c r="G195" i="7"/>
  <c r="H195" i="7" s="1"/>
  <c r="I195" i="7" s="1"/>
  <c r="J195" i="7" s="1"/>
  <c r="D195" i="7"/>
  <c r="I194" i="7"/>
  <c r="J194" i="7" s="1"/>
  <c r="H194" i="7"/>
  <c r="G194" i="7"/>
  <c r="D194" i="7"/>
  <c r="I183" i="7"/>
  <c r="J183" i="7" s="1"/>
  <c r="G183" i="7"/>
  <c r="H183" i="7" s="1"/>
  <c r="D183" i="7"/>
  <c r="H182" i="7"/>
  <c r="I182" i="7" s="1"/>
  <c r="J182" i="7" s="1"/>
  <c r="G182" i="7"/>
  <c r="D182" i="7"/>
  <c r="I181" i="7"/>
  <c r="J181" i="7" s="1"/>
  <c r="H181" i="7"/>
  <c r="G181" i="7"/>
  <c r="D181" i="7"/>
  <c r="K181" i="7" s="1"/>
  <c r="I180" i="7"/>
  <c r="J180" i="7" s="1"/>
  <c r="K180" i="7" s="1"/>
  <c r="G180" i="7"/>
  <c r="H180" i="7" s="1"/>
  <c r="D180" i="7"/>
  <c r="H179" i="7"/>
  <c r="I179" i="7" s="1"/>
  <c r="J179" i="7" s="1"/>
  <c r="G179" i="7"/>
  <c r="D179" i="7"/>
  <c r="K178" i="7"/>
  <c r="H178" i="7"/>
  <c r="I178" i="7" s="1"/>
  <c r="J178" i="7" s="1"/>
  <c r="G178" i="7"/>
  <c r="D178" i="7"/>
  <c r="H177" i="7"/>
  <c r="I177" i="7" s="1"/>
  <c r="J177" i="7" s="1"/>
  <c r="K177" i="7" s="1"/>
  <c r="G177" i="7"/>
  <c r="D177" i="7"/>
  <c r="H176" i="7"/>
  <c r="I176" i="7" s="1"/>
  <c r="J176" i="7" s="1"/>
  <c r="G176" i="7"/>
  <c r="D176" i="7"/>
  <c r="J175" i="7"/>
  <c r="G175" i="7"/>
  <c r="H175" i="7" s="1"/>
  <c r="I175" i="7" s="1"/>
  <c r="D175" i="7"/>
  <c r="I164" i="7"/>
  <c r="J164" i="7" s="1"/>
  <c r="H164" i="7"/>
  <c r="G164" i="7"/>
  <c r="D164" i="7"/>
  <c r="G163" i="7"/>
  <c r="H163" i="7" s="1"/>
  <c r="I163" i="7" s="1"/>
  <c r="J163" i="7" s="1"/>
  <c r="D163" i="7"/>
  <c r="G162" i="7"/>
  <c r="H162" i="7" s="1"/>
  <c r="I162" i="7" s="1"/>
  <c r="J162" i="7" s="1"/>
  <c r="D162" i="7"/>
  <c r="J161" i="7"/>
  <c r="K161" i="7" s="1"/>
  <c r="H161" i="7"/>
  <c r="I161" i="7" s="1"/>
  <c r="G161" i="7"/>
  <c r="D161" i="7"/>
  <c r="I160" i="7"/>
  <c r="J160" i="7" s="1"/>
  <c r="H160" i="7"/>
  <c r="G160" i="7"/>
  <c r="D160" i="7"/>
  <c r="I149" i="7"/>
  <c r="J149" i="7" s="1"/>
  <c r="H149" i="7"/>
  <c r="G149" i="7"/>
  <c r="D149" i="7"/>
  <c r="K149" i="7" s="1"/>
  <c r="G148" i="7"/>
  <c r="H148" i="7" s="1"/>
  <c r="I148" i="7" s="1"/>
  <c r="J148" i="7" s="1"/>
  <c r="D148" i="7"/>
  <c r="G147" i="7"/>
  <c r="H147" i="7" s="1"/>
  <c r="I147" i="7" s="1"/>
  <c r="J147" i="7" s="1"/>
  <c r="D147" i="7"/>
  <c r="H146" i="7"/>
  <c r="I146" i="7" s="1"/>
  <c r="J146" i="7" s="1"/>
  <c r="G146" i="7"/>
  <c r="D146" i="7"/>
  <c r="J145" i="7"/>
  <c r="I145" i="7"/>
  <c r="H145" i="7"/>
  <c r="G145" i="7"/>
  <c r="D145" i="7"/>
  <c r="K145" i="7" s="1"/>
  <c r="K144" i="7"/>
  <c r="J144" i="7"/>
  <c r="H144" i="7"/>
  <c r="I144" i="7" s="1"/>
  <c r="G144" i="7"/>
  <c r="D144" i="7"/>
  <c r="G143" i="7"/>
  <c r="H143" i="7" s="1"/>
  <c r="I143" i="7" s="1"/>
  <c r="J143" i="7" s="1"/>
  <c r="D143" i="7"/>
  <c r="G142" i="7"/>
  <c r="H142" i="7" s="1"/>
  <c r="I142" i="7" s="1"/>
  <c r="J142" i="7" s="1"/>
  <c r="D142" i="7"/>
  <c r="J141" i="7"/>
  <c r="K141" i="7" s="1"/>
  <c r="H141" i="7"/>
  <c r="I141" i="7" s="1"/>
  <c r="G141" i="7"/>
  <c r="D141" i="7"/>
  <c r="K140" i="7"/>
  <c r="H140" i="7"/>
  <c r="I140" i="7" s="1"/>
  <c r="J140" i="7" s="1"/>
  <c r="G140" i="7"/>
  <c r="D140" i="7"/>
  <c r="G139" i="7"/>
  <c r="H139" i="7" s="1"/>
  <c r="I139" i="7" s="1"/>
  <c r="J139" i="7" s="1"/>
  <c r="D139" i="7"/>
  <c r="K139" i="7" s="1"/>
  <c r="K138" i="7"/>
  <c r="H138" i="7"/>
  <c r="I138" i="7" s="1"/>
  <c r="J138" i="7" s="1"/>
  <c r="G138" i="7"/>
  <c r="D138" i="7"/>
  <c r="K126" i="7"/>
  <c r="J126" i="7"/>
  <c r="G126" i="7"/>
  <c r="H126" i="7" s="1"/>
  <c r="I126" i="7" s="1"/>
  <c r="D126" i="7"/>
  <c r="I125" i="7"/>
  <c r="J125" i="7" s="1"/>
  <c r="K125" i="7" s="1"/>
  <c r="H125" i="7"/>
  <c r="G125" i="7"/>
  <c r="D125" i="7"/>
  <c r="H124" i="7"/>
  <c r="I124" i="7" s="1"/>
  <c r="J124" i="7" s="1"/>
  <c r="G124" i="7"/>
  <c r="D124" i="7"/>
  <c r="G123" i="7"/>
  <c r="H123" i="7" s="1"/>
  <c r="I123" i="7" s="1"/>
  <c r="J123" i="7" s="1"/>
  <c r="D123" i="7"/>
  <c r="H122" i="7"/>
  <c r="I122" i="7" s="1"/>
  <c r="J122" i="7" s="1"/>
  <c r="K122" i="7" s="1"/>
  <c r="G122" i="7"/>
  <c r="D122" i="7"/>
  <c r="H121" i="7"/>
  <c r="I121" i="7" s="1"/>
  <c r="J121" i="7" s="1"/>
  <c r="G121" i="7"/>
  <c r="D121" i="7"/>
  <c r="H120" i="7"/>
  <c r="I120" i="7" s="1"/>
  <c r="J120" i="7" s="1"/>
  <c r="G120" i="7"/>
  <c r="D120" i="7"/>
  <c r="K120" i="7" s="1"/>
  <c r="J109" i="7"/>
  <c r="K109" i="7" s="1"/>
  <c r="G109" i="7"/>
  <c r="H109" i="7" s="1"/>
  <c r="I109" i="7" s="1"/>
  <c r="D109" i="7"/>
  <c r="I108" i="7"/>
  <c r="J108" i="7" s="1"/>
  <c r="H108" i="7"/>
  <c r="G108" i="7"/>
  <c r="D108" i="7"/>
  <c r="G107" i="7"/>
  <c r="H107" i="7" s="1"/>
  <c r="I107" i="7" s="1"/>
  <c r="J107" i="7" s="1"/>
  <c r="D107" i="7"/>
  <c r="H106" i="7"/>
  <c r="I106" i="7" s="1"/>
  <c r="J106" i="7" s="1"/>
  <c r="K106" i="7" s="1"/>
  <c r="G106" i="7"/>
  <c r="D106" i="7"/>
  <c r="H105" i="7"/>
  <c r="I105" i="7" s="1"/>
  <c r="J105" i="7" s="1"/>
  <c r="K105" i="7" s="1"/>
  <c r="G105" i="7"/>
  <c r="D105" i="7"/>
  <c r="G94" i="7"/>
  <c r="H94" i="7" s="1"/>
  <c r="I94" i="7" s="1"/>
  <c r="J94" i="7" s="1"/>
  <c r="K94" i="7" s="1"/>
  <c r="D94" i="7"/>
  <c r="G93" i="7"/>
  <c r="H93" i="7" s="1"/>
  <c r="I93" i="7" s="1"/>
  <c r="J93" i="7" s="1"/>
  <c r="D93" i="7"/>
  <c r="K93" i="7" s="1"/>
  <c r="K92" i="7"/>
  <c r="J92" i="7"/>
  <c r="G92" i="7"/>
  <c r="H92" i="7" s="1"/>
  <c r="I92" i="7" s="1"/>
  <c r="D92" i="7"/>
  <c r="H91" i="7"/>
  <c r="I91" i="7" s="1"/>
  <c r="J91" i="7" s="1"/>
  <c r="K91" i="7" s="1"/>
  <c r="G91" i="7"/>
  <c r="D91" i="7"/>
  <c r="H90" i="7"/>
  <c r="I90" i="7" s="1"/>
  <c r="J90" i="7" s="1"/>
  <c r="G90" i="7"/>
  <c r="D90" i="7"/>
  <c r="J89" i="7"/>
  <c r="G89" i="7"/>
  <c r="H89" i="7" s="1"/>
  <c r="I89" i="7" s="1"/>
  <c r="D89" i="7"/>
  <c r="G78" i="7"/>
  <c r="H78" i="7" s="1"/>
  <c r="I78" i="7" s="1"/>
  <c r="J78" i="7" s="1"/>
  <c r="D78" i="7"/>
  <c r="G77" i="7"/>
  <c r="H77" i="7" s="1"/>
  <c r="I77" i="7" s="1"/>
  <c r="J77" i="7" s="1"/>
  <c r="D77" i="7"/>
  <c r="K77" i="7" s="1"/>
  <c r="I76" i="7"/>
  <c r="J76" i="7" s="1"/>
  <c r="H76" i="7"/>
  <c r="G76" i="7"/>
  <c r="D76" i="7"/>
  <c r="K76" i="7" s="1"/>
  <c r="G75" i="7"/>
  <c r="H75" i="7" s="1"/>
  <c r="I75" i="7" s="1"/>
  <c r="J75" i="7" s="1"/>
  <c r="K75" i="7" s="1"/>
  <c r="D75" i="7"/>
  <c r="G74" i="7"/>
  <c r="H74" i="7" s="1"/>
  <c r="I74" i="7" s="1"/>
  <c r="J74" i="7" s="1"/>
  <c r="D74" i="7"/>
  <c r="G73" i="7"/>
  <c r="H73" i="7" s="1"/>
  <c r="I73" i="7" s="1"/>
  <c r="J73" i="7" s="1"/>
  <c r="D73" i="7"/>
  <c r="K73" i="7" s="1"/>
  <c r="G61" i="7"/>
  <c r="H61" i="7" s="1"/>
  <c r="I61" i="7" s="1"/>
  <c r="J61" i="7" s="1"/>
  <c r="D61" i="7"/>
  <c r="K61" i="7" s="1"/>
  <c r="K60" i="7"/>
  <c r="G60" i="7"/>
  <c r="H60" i="7" s="1"/>
  <c r="I60" i="7" s="1"/>
  <c r="J60" i="7" s="1"/>
  <c r="D60" i="7"/>
  <c r="H59" i="7"/>
  <c r="I59" i="7" s="1"/>
  <c r="J59" i="7" s="1"/>
  <c r="K59" i="7" s="1"/>
  <c r="G56" i="7" s="1"/>
  <c r="J56" i="7" s="1"/>
  <c r="G59" i="7"/>
  <c r="D59" i="7"/>
  <c r="I47" i="7"/>
  <c r="J47" i="7" s="1"/>
  <c r="K47" i="7" s="1"/>
  <c r="H47" i="7"/>
  <c r="G47" i="7"/>
  <c r="D47" i="7"/>
  <c r="G46" i="7"/>
  <c r="H46" i="7" s="1"/>
  <c r="I46" i="7" s="1"/>
  <c r="J46" i="7" s="1"/>
  <c r="D46" i="7"/>
  <c r="G45" i="7"/>
  <c r="H45" i="7" s="1"/>
  <c r="I45" i="7" s="1"/>
  <c r="J45" i="7" s="1"/>
  <c r="D45" i="7"/>
  <c r="G44" i="7"/>
  <c r="H44" i="7" s="1"/>
  <c r="I44" i="7" s="1"/>
  <c r="J44" i="7" s="1"/>
  <c r="K44" i="7" s="1"/>
  <c r="D44" i="7"/>
  <c r="I43" i="7"/>
  <c r="J43" i="7" s="1"/>
  <c r="K43" i="7" s="1"/>
  <c r="H43" i="7"/>
  <c r="G43" i="7"/>
  <c r="D43" i="7"/>
  <c r="I42" i="7"/>
  <c r="J42" i="7" s="1"/>
  <c r="G42" i="7"/>
  <c r="H42" i="7" s="1"/>
  <c r="D42" i="7"/>
  <c r="K42" i="7" s="1"/>
  <c r="G41" i="7"/>
  <c r="H41" i="7" s="1"/>
  <c r="I41" i="7" s="1"/>
  <c r="J41" i="7" s="1"/>
  <c r="D41" i="7"/>
  <c r="G29" i="7"/>
  <c r="H29" i="7" s="1"/>
  <c r="I29" i="7" s="1"/>
  <c r="J29" i="7" s="1"/>
  <c r="D29" i="7"/>
  <c r="H28" i="7"/>
  <c r="I28" i="7" s="1"/>
  <c r="J28" i="7" s="1"/>
  <c r="K28" i="7" s="1"/>
  <c r="G28" i="7"/>
  <c r="D28" i="7"/>
  <c r="H14" i="7"/>
  <c r="I14" i="7" s="1"/>
  <c r="J14" i="7" s="1"/>
  <c r="K14" i="7" s="1"/>
  <c r="G14" i="7"/>
  <c r="D14" i="7"/>
  <c r="I13" i="7"/>
  <c r="J13" i="7" s="1"/>
  <c r="K13" i="7" s="1"/>
  <c r="H13" i="7"/>
  <c r="G13" i="7"/>
  <c r="D13" i="7"/>
  <c r="I12" i="7"/>
  <c r="J12" i="7" s="1"/>
  <c r="H12" i="7"/>
  <c r="G12" i="7"/>
  <c r="D12" i="7"/>
  <c r="B18" i="6"/>
  <c r="B17" i="6"/>
  <c r="C14" i="6"/>
  <c r="C12" i="6"/>
  <c r="D12" i="6" s="1"/>
  <c r="C11" i="6"/>
  <c r="D11" i="6" s="1"/>
  <c r="K228" i="5"/>
  <c r="H228" i="5"/>
  <c r="I228" i="5" s="1"/>
  <c r="J228" i="5" s="1"/>
  <c r="G228" i="5"/>
  <c r="D228" i="5"/>
  <c r="G227" i="5"/>
  <c r="H227" i="5" s="1"/>
  <c r="I227" i="5" s="1"/>
  <c r="J227" i="5" s="1"/>
  <c r="D227" i="5"/>
  <c r="G226" i="5"/>
  <c r="H226" i="5" s="1"/>
  <c r="I226" i="5" s="1"/>
  <c r="J226" i="5" s="1"/>
  <c r="D226" i="5"/>
  <c r="K226" i="5" s="1"/>
  <c r="H225" i="5"/>
  <c r="I225" i="5" s="1"/>
  <c r="J225" i="5" s="1"/>
  <c r="K225" i="5" s="1"/>
  <c r="G225" i="5"/>
  <c r="D225" i="5"/>
  <c r="J214" i="5"/>
  <c r="K214" i="5" s="1"/>
  <c r="H214" i="5"/>
  <c r="I214" i="5" s="1"/>
  <c r="G214" i="5"/>
  <c r="D214" i="5"/>
  <c r="H213" i="5"/>
  <c r="I213" i="5" s="1"/>
  <c r="J213" i="5" s="1"/>
  <c r="K213" i="5" s="1"/>
  <c r="G213" i="5"/>
  <c r="D213" i="5"/>
  <c r="H212" i="5"/>
  <c r="I212" i="5" s="1"/>
  <c r="J212" i="5" s="1"/>
  <c r="G212" i="5"/>
  <c r="D212" i="5"/>
  <c r="G211" i="5"/>
  <c r="H211" i="5" s="1"/>
  <c r="I211" i="5" s="1"/>
  <c r="J211" i="5" s="1"/>
  <c r="D211" i="5"/>
  <c r="K211" i="5" s="1"/>
  <c r="G200" i="5"/>
  <c r="H200" i="5" s="1"/>
  <c r="I200" i="5" s="1"/>
  <c r="J200" i="5" s="1"/>
  <c r="D200" i="5"/>
  <c r="K200" i="5" s="1"/>
  <c r="K199" i="5"/>
  <c r="G196" i="5" s="1"/>
  <c r="J196" i="5" s="1"/>
  <c r="J199" i="5"/>
  <c r="H199" i="5"/>
  <c r="I199" i="5" s="1"/>
  <c r="G199" i="5"/>
  <c r="D199" i="5"/>
  <c r="K188" i="5"/>
  <c r="J188" i="5"/>
  <c r="H188" i="5"/>
  <c r="I188" i="5" s="1"/>
  <c r="G188" i="5"/>
  <c r="D188" i="5"/>
  <c r="H187" i="5"/>
  <c r="I187" i="5" s="1"/>
  <c r="J187" i="5" s="1"/>
  <c r="K187" i="5" s="1"/>
  <c r="G187" i="5"/>
  <c r="D187" i="5"/>
  <c r="G186" i="5"/>
  <c r="H186" i="5" s="1"/>
  <c r="I186" i="5" s="1"/>
  <c r="J186" i="5" s="1"/>
  <c r="D186" i="5"/>
  <c r="G185" i="5"/>
  <c r="H185" i="5" s="1"/>
  <c r="I185" i="5" s="1"/>
  <c r="J185" i="5" s="1"/>
  <c r="D185" i="5"/>
  <c r="K185" i="5" s="1"/>
  <c r="K184" i="5"/>
  <c r="J184" i="5"/>
  <c r="H184" i="5"/>
  <c r="I184" i="5" s="1"/>
  <c r="G184" i="5"/>
  <c r="D184" i="5"/>
  <c r="H183" i="5"/>
  <c r="I183" i="5" s="1"/>
  <c r="J183" i="5" s="1"/>
  <c r="K183" i="5" s="1"/>
  <c r="G183" i="5"/>
  <c r="D183" i="5"/>
  <c r="H182" i="5"/>
  <c r="I182" i="5" s="1"/>
  <c r="J182" i="5" s="1"/>
  <c r="G182" i="5"/>
  <c r="D182" i="5"/>
  <c r="G181" i="5"/>
  <c r="H181" i="5" s="1"/>
  <c r="I181" i="5" s="1"/>
  <c r="J181" i="5" s="1"/>
  <c r="D181" i="5"/>
  <c r="K181" i="5" s="1"/>
  <c r="H180" i="5"/>
  <c r="I180" i="5" s="1"/>
  <c r="J180" i="5" s="1"/>
  <c r="K180" i="5" s="1"/>
  <c r="G180" i="5"/>
  <c r="D180" i="5"/>
  <c r="K169" i="5"/>
  <c r="J169" i="5"/>
  <c r="H169" i="5"/>
  <c r="I169" i="5" s="1"/>
  <c r="G169" i="5"/>
  <c r="D169" i="5"/>
  <c r="I168" i="5"/>
  <c r="J168" i="5" s="1"/>
  <c r="K168" i="5" s="1"/>
  <c r="H168" i="5"/>
  <c r="G168" i="5"/>
  <c r="D168" i="5"/>
  <c r="H167" i="5"/>
  <c r="I167" i="5" s="1"/>
  <c r="J167" i="5" s="1"/>
  <c r="G167" i="5"/>
  <c r="D167" i="5"/>
  <c r="G166" i="5"/>
  <c r="H166" i="5" s="1"/>
  <c r="I166" i="5" s="1"/>
  <c r="J166" i="5" s="1"/>
  <c r="D166" i="5"/>
  <c r="H165" i="5"/>
  <c r="I165" i="5" s="1"/>
  <c r="J165" i="5" s="1"/>
  <c r="K165" i="5" s="1"/>
  <c r="G165" i="5"/>
  <c r="D165" i="5"/>
  <c r="K154" i="5"/>
  <c r="J154" i="5"/>
  <c r="H154" i="5"/>
  <c r="I154" i="5" s="1"/>
  <c r="G154" i="5"/>
  <c r="D154" i="5"/>
  <c r="I153" i="5"/>
  <c r="J153" i="5" s="1"/>
  <c r="K153" i="5" s="1"/>
  <c r="H153" i="5"/>
  <c r="G153" i="5"/>
  <c r="D153" i="5"/>
  <c r="H152" i="5"/>
  <c r="I152" i="5" s="1"/>
  <c r="J152" i="5" s="1"/>
  <c r="G152" i="5"/>
  <c r="D152" i="5"/>
  <c r="G151" i="5"/>
  <c r="H151" i="5" s="1"/>
  <c r="I151" i="5" s="1"/>
  <c r="J151" i="5" s="1"/>
  <c r="D151" i="5"/>
  <c r="K151" i="5" s="1"/>
  <c r="H150" i="5"/>
  <c r="I150" i="5" s="1"/>
  <c r="J150" i="5" s="1"/>
  <c r="K150" i="5" s="1"/>
  <c r="G150" i="5"/>
  <c r="D150" i="5"/>
  <c r="I149" i="5"/>
  <c r="J149" i="5" s="1"/>
  <c r="K149" i="5" s="1"/>
  <c r="H149" i="5"/>
  <c r="G149" i="5"/>
  <c r="D149" i="5"/>
  <c r="G148" i="5"/>
  <c r="H148" i="5" s="1"/>
  <c r="I148" i="5" s="1"/>
  <c r="J148" i="5" s="1"/>
  <c r="D148" i="5"/>
  <c r="G147" i="5"/>
  <c r="H147" i="5" s="1"/>
  <c r="I147" i="5" s="1"/>
  <c r="J147" i="5" s="1"/>
  <c r="D147" i="5"/>
  <c r="H146" i="5"/>
  <c r="I146" i="5" s="1"/>
  <c r="J146" i="5" s="1"/>
  <c r="K146" i="5" s="1"/>
  <c r="G146" i="5"/>
  <c r="D146" i="5"/>
  <c r="J145" i="5"/>
  <c r="K145" i="5" s="1"/>
  <c r="I145" i="5"/>
  <c r="H145" i="5"/>
  <c r="G145" i="5"/>
  <c r="D145" i="5"/>
  <c r="G144" i="5"/>
  <c r="H144" i="5" s="1"/>
  <c r="I144" i="5" s="1"/>
  <c r="J144" i="5" s="1"/>
  <c r="D144" i="5"/>
  <c r="K144" i="5" s="1"/>
  <c r="G143" i="5"/>
  <c r="H143" i="5" s="1"/>
  <c r="I143" i="5" s="1"/>
  <c r="J143" i="5" s="1"/>
  <c r="D143" i="5"/>
  <c r="G131" i="5"/>
  <c r="H131" i="5" s="1"/>
  <c r="I131" i="5" s="1"/>
  <c r="J131" i="5" s="1"/>
  <c r="D131" i="5"/>
  <c r="K131" i="5" s="1"/>
  <c r="K130" i="5"/>
  <c r="J130" i="5"/>
  <c r="H130" i="5"/>
  <c r="I130" i="5" s="1"/>
  <c r="G130" i="5"/>
  <c r="D130" i="5"/>
  <c r="H129" i="5"/>
  <c r="I129" i="5" s="1"/>
  <c r="J129" i="5" s="1"/>
  <c r="K129" i="5" s="1"/>
  <c r="G129" i="5"/>
  <c r="D129" i="5"/>
  <c r="G128" i="5"/>
  <c r="H128" i="5" s="1"/>
  <c r="I128" i="5" s="1"/>
  <c r="J128" i="5" s="1"/>
  <c r="D128" i="5"/>
  <c r="G127" i="5"/>
  <c r="H127" i="5" s="1"/>
  <c r="I127" i="5" s="1"/>
  <c r="J127" i="5" s="1"/>
  <c r="D127" i="5"/>
  <c r="K127" i="5" s="1"/>
  <c r="K126" i="5"/>
  <c r="J126" i="5"/>
  <c r="H126" i="5"/>
  <c r="I126" i="5" s="1"/>
  <c r="G126" i="5"/>
  <c r="D126" i="5"/>
  <c r="I125" i="5"/>
  <c r="J125" i="5" s="1"/>
  <c r="K125" i="5" s="1"/>
  <c r="H125" i="5"/>
  <c r="G125" i="5"/>
  <c r="D125" i="5"/>
  <c r="H114" i="5"/>
  <c r="I114" i="5" s="1"/>
  <c r="J114" i="5" s="1"/>
  <c r="K114" i="5" s="1"/>
  <c r="G114" i="5"/>
  <c r="D114" i="5"/>
  <c r="G113" i="5"/>
  <c r="H113" i="5" s="1"/>
  <c r="I113" i="5" s="1"/>
  <c r="J113" i="5" s="1"/>
  <c r="D113" i="5"/>
  <c r="G112" i="5"/>
  <c r="H112" i="5" s="1"/>
  <c r="I112" i="5" s="1"/>
  <c r="J112" i="5" s="1"/>
  <c r="D112" i="5"/>
  <c r="K112" i="5" s="1"/>
  <c r="J111" i="5"/>
  <c r="K111" i="5" s="1"/>
  <c r="H111" i="5"/>
  <c r="I111" i="5" s="1"/>
  <c r="G111" i="5"/>
  <c r="D111" i="5"/>
  <c r="H110" i="5"/>
  <c r="I110" i="5" s="1"/>
  <c r="J110" i="5" s="1"/>
  <c r="K110" i="5" s="1"/>
  <c r="G110" i="5"/>
  <c r="D110" i="5"/>
  <c r="I99" i="5"/>
  <c r="J99" i="5" s="1"/>
  <c r="K99" i="5" s="1"/>
  <c r="H99" i="5"/>
  <c r="G99" i="5"/>
  <c r="D99" i="5"/>
  <c r="I98" i="5"/>
  <c r="J98" i="5" s="1"/>
  <c r="H98" i="5"/>
  <c r="G98" i="5"/>
  <c r="D98" i="5"/>
  <c r="G97" i="5"/>
  <c r="H97" i="5" s="1"/>
  <c r="I97" i="5" s="1"/>
  <c r="J97" i="5" s="1"/>
  <c r="D97" i="5"/>
  <c r="H96" i="5"/>
  <c r="I96" i="5" s="1"/>
  <c r="J96" i="5" s="1"/>
  <c r="K96" i="5" s="1"/>
  <c r="G96" i="5"/>
  <c r="D96" i="5"/>
  <c r="H95" i="5"/>
  <c r="I95" i="5" s="1"/>
  <c r="J95" i="5" s="1"/>
  <c r="K95" i="5" s="1"/>
  <c r="G95" i="5"/>
  <c r="D95" i="5"/>
  <c r="G94" i="5"/>
  <c r="H94" i="5" s="1"/>
  <c r="I94" i="5" s="1"/>
  <c r="J94" i="5" s="1"/>
  <c r="D94" i="5"/>
  <c r="K94" i="5" s="1"/>
  <c r="G83" i="5"/>
  <c r="H83" i="5" s="1"/>
  <c r="I83" i="5" s="1"/>
  <c r="J83" i="5" s="1"/>
  <c r="D83" i="5"/>
  <c r="K83" i="5" s="1"/>
  <c r="G82" i="5"/>
  <c r="H82" i="5" s="1"/>
  <c r="I82" i="5" s="1"/>
  <c r="J82" i="5" s="1"/>
  <c r="D82" i="5"/>
  <c r="J81" i="5"/>
  <c r="K81" i="5" s="1"/>
  <c r="H81" i="5"/>
  <c r="I81" i="5" s="1"/>
  <c r="G81" i="5"/>
  <c r="D81" i="5"/>
  <c r="H80" i="5"/>
  <c r="I80" i="5" s="1"/>
  <c r="J80" i="5" s="1"/>
  <c r="K80" i="5" s="1"/>
  <c r="G80" i="5"/>
  <c r="D80" i="5"/>
  <c r="I79" i="5"/>
  <c r="J79" i="5" s="1"/>
  <c r="H79" i="5"/>
  <c r="G79" i="5"/>
  <c r="D79" i="5"/>
  <c r="G78" i="5"/>
  <c r="H78" i="5" s="1"/>
  <c r="I78" i="5" s="1"/>
  <c r="J78" i="5" s="1"/>
  <c r="D78" i="5"/>
  <c r="H66" i="5"/>
  <c r="I66" i="5" s="1"/>
  <c r="J66" i="5" s="1"/>
  <c r="G66" i="5"/>
  <c r="D66" i="5"/>
  <c r="J65" i="5"/>
  <c r="H65" i="5"/>
  <c r="I65" i="5" s="1"/>
  <c r="G65" i="5"/>
  <c r="D65" i="5"/>
  <c r="K65" i="5" s="1"/>
  <c r="H64" i="5"/>
  <c r="I64" i="5" s="1"/>
  <c r="J64" i="5" s="1"/>
  <c r="K64" i="5" s="1"/>
  <c r="G64" i="5"/>
  <c r="I50" i="5"/>
  <c r="J50" i="5" s="1"/>
  <c r="K50" i="5" s="1"/>
  <c r="H50" i="5"/>
  <c r="G50" i="5"/>
  <c r="D50" i="5"/>
  <c r="H49" i="5"/>
  <c r="I49" i="5" s="1"/>
  <c r="J49" i="5" s="1"/>
  <c r="G49" i="5"/>
  <c r="D49" i="5"/>
  <c r="K48" i="5"/>
  <c r="G48" i="5"/>
  <c r="H48" i="5" s="1"/>
  <c r="I48" i="5" s="1"/>
  <c r="J48" i="5" s="1"/>
  <c r="D48" i="5"/>
  <c r="I47" i="5"/>
  <c r="J47" i="5" s="1"/>
  <c r="K47" i="5" s="1"/>
  <c r="G47" i="5"/>
  <c r="H47" i="5" s="1"/>
  <c r="D47" i="5"/>
  <c r="G46" i="5"/>
  <c r="H46" i="5" s="1"/>
  <c r="I46" i="5" s="1"/>
  <c r="J46" i="5" s="1"/>
  <c r="K46" i="5" s="1"/>
  <c r="D46" i="5"/>
  <c r="H34" i="5"/>
  <c r="I34" i="5" s="1"/>
  <c r="J34" i="5" s="1"/>
  <c r="K34" i="5" s="1"/>
  <c r="G34" i="5"/>
  <c r="D34" i="5"/>
  <c r="G33" i="5"/>
  <c r="H33" i="5" s="1"/>
  <c r="I33" i="5" s="1"/>
  <c r="J33" i="5" s="1"/>
  <c r="D33" i="5"/>
  <c r="K32" i="5"/>
  <c r="I32" i="5"/>
  <c r="J32" i="5" s="1"/>
  <c r="G32" i="5"/>
  <c r="H32" i="5" s="1"/>
  <c r="D32" i="5"/>
  <c r="K31" i="5"/>
  <c r="G31" i="5"/>
  <c r="H31" i="5" s="1"/>
  <c r="I31" i="5" s="1"/>
  <c r="J31" i="5" s="1"/>
  <c r="D31" i="5"/>
  <c r="H30" i="5"/>
  <c r="I30" i="5" s="1"/>
  <c r="J30" i="5" s="1"/>
  <c r="K30" i="5" s="1"/>
  <c r="G30" i="5"/>
  <c r="D30" i="5"/>
  <c r="K29" i="5"/>
  <c r="I29" i="5"/>
  <c r="J29" i="5" s="1"/>
  <c r="H29" i="5"/>
  <c r="G29" i="5"/>
  <c r="D29" i="5"/>
  <c r="H15" i="5"/>
  <c r="I15" i="5" s="1"/>
  <c r="J15" i="5" s="1"/>
  <c r="G15" i="5"/>
  <c r="D15" i="5"/>
  <c r="G14" i="5"/>
  <c r="H14" i="5" s="1"/>
  <c r="I14" i="5" s="1"/>
  <c r="J14" i="5" s="1"/>
  <c r="D14" i="5"/>
  <c r="K14" i="5" s="1"/>
  <c r="I13" i="5"/>
  <c r="J13" i="5" s="1"/>
  <c r="K13" i="5" s="1"/>
  <c r="G13" i="5"/>
  <c r="H13" i="5" s="1"/>
  <c r="D13" i="5"/>
  <c r="K12" i="5"/>
  <c r="J12" i="5"/>
  <c r="G12" i="5"/>
  <c r="H12" i="5" s="1"/>
  <c r="I12" i="5" s="1"/>
  <c r="D12" i="5"/>
  <c r="C24" i="4"/>
  <c r="C22" i="4"/>
  <c r="D22" i="4" s="1"/>
  <c r="C21" i="4"/>
  <c r="D21" i="4" s="1"/>
  <c r="C20" i="4"/>
  <c r="D20" i="4" s="1"/>
  <c r="D19" i="4"/>
  <c r="C19" i="4"/>
  <c r="C17" i="4"/>
  <c r="D17" i="4" s="1"/>
  <c r="C16" i="4"/>
  <c r="D16" i="4" s="1"/>
  <c r="C14" i="4"/>
  <c r="D14" i="4" s="1"/>
  <c r="C13" i="4"/>
  <c r="D12" i="4"/>
  <c r="C12" i="4"/>
  <c r="D11" i="4"/>
  <c r="C11" i="4"/>
  <c r="C24" i="3"/>
  <c r="D22" i="3"/>
  <c r="C22" i="3"/>
  <c r="C21" i="3"/>
  <c r="D21" i="3" s="1"/>
  <c r="C20" i="3"/>
  <c r="D20" i="3" s="1"/>
  <c r="C19" i="3"/>
  <c r="D19" i="3" s="1"/>
  <c r="C16" i="3"/>
  <c r="D16" i="3" s="1"/>
  <c r="D14" i="3"/>
  <c r="C14" i="3"/>
  <c r="C12" i="3"/>
  <c r="D12" i="3" s="1"/>
  <c r="D11" i="3"/>
  <c r="C11" i="3"/>
  <c r="K212" i="2"/>
  <c r="J212" i="2"/>
  <c r="H212" i="2"/>
  <c r="I212" i="2" s="1"/>
  <c r="G212" i="2"/>
  <c r="D212" i="2"/>
  <c r="H211" i="2"/>
  <c r="I211" i="2" s="1"/>
  <c r="J211" i="2" s="1"/>
  <c r="K211" i="2" s="1"/>
  <c r="G211" i="2"/>
  <c r="D211" i="2"/>
  <c r="G210" i="2"/>
  <c r="H210" i="2" s="1"/>
  <c r="I210" i="2" s="1"/>
  <c r="J210" i="2" s="1"/>
  <c r="D210" i="2"/>
  <c r="J209" i="2"/>
  <c r="H209" i="2"/>
  <c r="I209" i="2" s="1"/>
  <c r="G209" i="2"/>
  <c r="D209" i="2"/>
  <c r="G198" i="2"/>
  <c r="H198" i="2" s="1"/>
  <c r="I198" i="2" s="1"/>
  <c r="J198" i="2" s="1"/>
  <c r="D198" i="2"/>
  <c r="H197" i="2"/>
  <c r="I197" i="2" s="1"/>
  <c r="J197" i="2" s="1"/>
  <c r="G197" i="2"/>
  <c r="D197" i="2"/>
  <c r="J196" i="2"/>
  <c r="I196" i="2"/>
  <c r="H196" i="2"/>
  <c r="G196" i="2"/>
  <c r="D196" i="2"/>
  <c r="K196" i="2" s="1"/>
  <c r="H195" i="2"/>
  <c r="I195" i="2" s="1"/>
  <c r="J195" i="2" s="1"/>
  <c r="G195" i="2"/>
  <c r="D195" i="2"/>
  <c r="G184" i="2"/>
  <c r="H184" i="2" s="1"/>
  <c r="I184" i="2" s="1"/>
  <c r="J184" i="2" s="1"/>
  <c r="D184" i="2"/>
  <c r="J183" i="2"/>
  <c r="H183" i="2"/>
  <c r="I183" i="2" s="1"/>
  <c r="G183" i="2"/>
  <c r="D183" i="2"/>
  <c r="G172" i="2"/>
  <c r="H172" i="2" s="1"/>
  <c r="I172" i="2" s="1"/>
  <c r="J172" i="2" s="1"/>
  <c r="D172" i="2"/>
  <c r="H171" i="2"/>
  <c r="I171" i="2" s="1"/>
  <c r="J171" i="2" s="1"/>
  <c r="G171" i="2"/>
  <c r="D171" i="2"/>
  <c r="K171" i="2" s="1"/>
  <c r="I170" i="2"/>
  <c r="J170" i="2" s="1"/>
  <c r="K170" i="2" s="1"/>
  <c r="H170" i="2"/>
  <c r="G170" i="2"/>
  <c r="D170" i="2"/>
  <c r="G169" i="2"/>
  <c r="H169" i="2" s="1"/>
  <c r="I169" i="2" s="1"/>
  <c r="J169" i="2" s="1"/>
  <c r="D169" i="2"/>
  <c r="G168" i="2"/>
  <c r="H168" i="2" s="1"/>
  <c r="I168" i="2" s="1"/>
  <c r="J168" i="2" s="1"/>
  <c r="D168" i="2"/>
  <c r="H167" i="2"/>
  <c r="I167" i="2" s="1"/>
  <c r="J167" i="2" s="1"/>
  <c r="K167" i="2" s="1"/>
  <c r="G167" i="2"/>
  <c r="D167" i="2"/>
  <c r="H166" i="2"/>
  <c r="I166" i="2" s="1"/>
  <c r="J166" i="2" s="1"/>
  <c r="G166" i="2"/>
  <c r="D166" i="2"/>
  <c r="G165" i="2"/>
  <c r="H165" i="2" s="1"/>
  <c r="I165" i="2" s="1"/>
  <c r="J165" i="2" s="1"/>
  <c r="D165" i="2"/>
  <c r="G164" i="2"/>
  <c r="H164" i="2" s="1"/>
  <c r="I164" i="2" s="1"/>
  <c r="J164" i="2" s="1"/>
  <c r="D164" i="2"/>
  <c r="J153" i="2"/>
  <c r="G153" i="2"/>
  <c r="H153" i="2" s="1"/>
  <c r="I153" i="2" s="1"/>
  <c r="D153" i="2"/>
  <c r="J152" i="2"/>
  <c r="H152" i="2"/>
  <c r="I152" i="2" s="1"/>
  <c r="G152" i="2"/>
  <c r="D152" i="2"/>
  <c r="K152" i="2" s="1"/>
  <c r="H151" i="2"/>
  <c r="I151" i="2" s="1"/>
  <c r="J151" i="2" s="1"/>
  <c r="K151" i="2" s="1"/>
  <c r="G151" i="2"/>
  <c r="D151" i="2"/>
  <c r="G150" i="2"/>
  <c r="H150" i="2" s="1"/>
  <c r="I150" i="2" s="1"/>
  <c r="J150" i="2" s="1"/>
  <c r="D150" i="2"/>
  <c r="J149" i="2"/>
  <c r="H149" i="2"/>
  <c r="I149" i="2" s="1"/>
  <c r="G149" i="2"/>
  <c r="D149" i="2"/>
  <c r="G138" i="2"/>
  <c r="H138" i="2" s="1"/>
  <c r="I138" i="2" s="1"/>
  <c r="J138" i="2" s="1"/>
  <c r="D138" i="2"/>
  <c r="H137" i="2"/>
  <c r="I137" i="2" s="1"/>
  <c r="J137" i="2" s="1"/>
  <c r="G137" i="2"/>
  <c r="D137" i="2"/>
  <c r="K137" i="2" s="1"/>
  <c r="I136" i="2"/>
  <c r="J136" i="2" s="1"/>
  <c r="K136" i="2" s="1"/>
  <c r="H136" i="2"/>
  <c r="G136" i="2"/>
  <c r="D136" i="2"/>
  <c r="G135" i="2"/>
  <c r="H135" i="2" s="1"/>
  <c r="I135" i="2" s="1"/>
  <c r="J135" i="2" s="1"/>
  <c r="D135" i="2"/>
  <c r="G134" i="2"/>
  <c r="H134" i="2" s="1"/>
  <c r="I134" i="2" s="1"/>
  <c r="J134" i="2" s="1"/>
  <c r="D134" i="2"/>
  <c r="H133" i="2"/>
  <c r="I133" i="2" s="1"/>
  <c r="J133" i="2" s="1"/>
  <c r="K133" i="2" s="1"/>
  <c r="G133" i="2"/>
  <c r="D133" i="2"/>
  <c r="H132" i="2"/>
  <c r="I132" i="2" s="1"/>
  <c r="J132" i="2" s="1"/>
  <c r="G132" i="2"/>
  <c r="D132" i="2"/>
  <c r="G131" i="2"/>
  <c r="H131" i="2" s="1"/>
  <c r="I131" i="2" s="1"/>
  <c r="J131" i="2" s="1"/>
  <c r="D131" i="2"/>
  <c r="G130" i="2"/>
  <c r="H130" i="2" s="1"/>
  <c r="I130" i="2" s="1"/>
  <c r="J130" i="2" s="1"/>
  <c r="D130" i="2"/>
  <c r="H129" i="2"/>
  <c r="I129" i="2" s="1"/>
  <c r="J129" i="2" s="1"/>
  <c r="G129" i="2"/>
  <c r="D129" i="2"/>
  <c r="I128" i="2"/>
  <c r="J128" i="2" s="1"/>
  <c r="H128" i="2"/>
  <c r="G128" i="2"/>
  <c r="D128" i="2"/>
  <c r="K128" i="2" s="1"/>
  <c r="G127" i="2"/>
  <c r="H127" i="2" s="1"/>
  <c r="I127" i="2" s="1"/>
  <c r="J127" i="2" s="1"/>
  <c r="D127" i="2"/>
  <c r="G115" i="2"/>
  <c r="H115" i="2" s="1"/>
  <c r="I115" i="2" s="1"/>
  <c r="J115" i="2" s="1"/>
  <c r="D115" i="2"/>
  <c r="J114" i="2"/>
  <c r="H114" i="2"/>
  <c r="I114" i="2" s="1"/>
  <c r="G114" i="2"/>
  <c r="D114" i="2"/>
  <c r="H113" i="2"/>
  <c r="I113" i="2" s="1"/>
  <c r="J113" i="2" s="1"/>
  <c r="G113" i="2"/>
  <c r="D113" i="2"/>
  <c r="K113" i="2" s="1"/>
  <c r="H112" i="2"/>
  <c r="I112" i="2" s="1"/>
  <c r="J112" i="2" s="1"/>
  <c r="G112" i="2"/>
  <c r="D112" i="2"/>
  <c r="K112" i="2" s="1"/>
  <c r="H111" i="2"/>
  <c r="I111" i="2" s="1"/>
  <c r="J111" i="2" s="1"/>
  <c r="G111" i="2"/>
  <c r="D111" i="2"/>
  <c r="G110" i="2"/>
  <c r="H110" i="2" s="1"/>
  <c r="I110" i="2" s="1"/>
  <c r="J110" i="2" s="1"/>
  <c r="D110" i="2"/>
  <c r="J109" i="2"/>
  <c r="K109" i="2" s="1"/>
  <c r="H109" i="2"/>
  <c r="I109" i="2" s="1"/>
  <c r="G109" i="2"/>
  <c r="D109" i="2"/>
  <c r="H98" i="2"/>
  <c r="I98" i="2" s="1"/>
  <c r="J98" i="2" s="1"/>
  <c r="K98" i="2" s="1"/>
  <c r="G98" i="2"/>
  <c r="D98" i="2"/>
  <c r="K97" i="2"/>
  <c r="I97" i="2"/>
  <c r="J97" i="2" s="1"/>
  <c r="H97" i="2"/>
  <c r="G97" i="2"/>
  <c r="D97" i="2"/>
  <c r="H96" i="2"/>
  <c r="I96" i="2" s="1"/>
  <c r="J96" i="2" s="1"/>
  <c r="G96" i="2"/>
  <c r="D96" i="2"/>
  <c r="K96" i="2" s="1"/>
  <c r="J95" i="2"/>
  <c r="H95" i="2"/>
  <c r="I95" i="2" s="1"/>
  <c r="G95" i="2"/>
  <c r="D95" i="2"/>
  <c r="J94" i="2"/>
  <c r="H94" i="2"/>
  <c r="I94" i="2" s="1"/>
  <c r="G94" i="2"/>
  <c r="D94" i="2"/>
  <c r="K94" i="2" s="1"/>
  <c r="H83" i="2"/>
  <c r="I83" i="2" s="1"/>
  <c r="J83" i="2" s="1"/>
  <c r="G83" i="2"/>
  <c r="D83" i="2"/>
  <c r="K83" i="2" s="1"/>
  <c r="I82" i="2"/>
  <c r="J82" i="2" s="1"/>
  <c r="K82" i="2" s="1"/>
  <c r="H82" i="2"/>
  <c r="G82" i="2"/>
  <c r="D82" i="2"/>
  <c r="G81" i="2"/>
  <c r="H81" i="2" s="1"/>
  <c r="I81" i="2" s="1"/>
  <c r="J81" i="2" s="1"/>
  <c r="D81" i="2"/>
  <c r="G80" i="2"/>
  <c r="H80" i="2" s="1"/>
  <c r="I80" i="2" s="1"/>
  <c r="J80" i="2" s="1"/>
  <c r="D80" i="2"/>
  <c r="H79" i="2"/>
  <c r="I79" i="2" s="1"/>
  <c r="J79" i="2" s="1"/>
  <c r="K79" i="2" s="1"/>
  <c r="G79" i="2"/>
  <c r="D79" i="2"/>
  <c r="H78" i="2"/>
  <c r="I78" i="2" s="1"/>
  <c r="J78" i="2" s="1"/>
  <c r="G78" i="2"/>
  <c r="D78" i="2"/>
  <c r="I65" i="2"/>
  <c r="J65" i="2" s="1"/>
  <c r="H65" i="2"/>
  <c r="G65" i="2"/>
  <c r="D65" i="2"/>
  <c r="K65" i="2" s="1"/>
  <c r="I64" i="2"/>
  <c r="J64" i="2" s="1"/>
  <c r="G64" i="2"/>
  <c r="H64" i="2" s="1"/>
  <c r="D64" i="2"/>
  <c r="G63" i="2"/>
  <c r="H63" i="2" s="1"/>
  <c r="I63" i="2" s="1"/>
  <c r="J63" i="2" s="1"/>
  <c r="D63" i="2"/>
  <c r="H62" i="2"/>
  <c r="I62" i="2" s="1"/>
  <c r="J62" i="2" s="1"/>
  <c r="K62" i="2" s="1"/>
  <c r="G62" i="2"/>
  <c r="D62" i="2"/>
  <c r="J49" i="2"/>
  <c r="H49" i="2"/>
  <c r="I49" i="2" s="1"/>
  <c r="G49" i="2"/>
  <c r="D49" i="2"/>
  <c r="K49" i="2" s="1"/>
  <c r="H48" i="2"/>
  <c r="I48" i="2" s="1"/>
  <c r="J48" i="2" s="1"/>
  <c r="K48" i="2" s="1"/>
  <c r="G48" i="2"/>
  <c r="D48" i="2"/>
  <c r="G47" i="2"/>
  <c r="H47" i="2" s="1"/>
  <c r="I47" i="2" s="1"/>
  <c r="J47" i="2" s="1"/>
  <c r="D47" i="2"/>
  <c r="H46" i="2"/>
  <c r="I46" i="2" s="1"/>
  <c r="J46" i="2" s="1"/>
  <c r="G46" i="2"/>
  <c r="D46" i="2"/>
  <c r="H45" i="2"/>
  <c r="I45" i="2" s="1"/>
  <c r="J45" i="2" s="1"/>
  <c r="K45" i="2" s="1"/>
  <c r="G45" i="2"/>
  <c r="D45" i="2"/>
  <c r="H33" i="2"/>
  <c r="I33" i="2" s="1"/>
  <c r="J33" i="2" s="1"/>
  <c r="G33" i="2"/>
  <c r="D33" i="2"/>
  <c r="K32" i="2"/>
  <c r="J32" i="2"/>
  <c r="H32" i="2"/>
  <c r="I32" i="2" s="1"/>
  <c r="G32" i="2"/>
  <c r="D32" i="2"/>
  <c r="G31" i="2"/>
  <c r="H31" i="2" s="1"/>
  <c r="I31" i="2" s="1"/>
  <c r="J31" i="2" s="1"/>
  <c r="D31" i="2"/>
  <c r="G30" i="2"/>
  <c r="H30" i="2" s="1"/>
  <c r="I30" i="2" s="1"/>
  <c r="J30" i="2" s="1"/>
  <c r="D30" i="2"/>
  <c r="H29" i="2"/>
  <c r="I29" i="2" s="1"/>
  <c r="J29" i="2" s="1"/>
  <c r="K29" i="2" s="1"/>
  <c r="G29" i="2"/>
  <c r="D29" i="2"/>
  <c r="H28" i="2"/>
  <c r="I28" i="2" s="1"/>
  <c r="J28" i="2" s="1"/>
  <c r="G28" i="2"/>
  <c r="D28" i="2"/>
  <c r="K28" i="2" s="1"/>
  <c r="H27" i="2"/>
  <c r="I27" i="2" s="1"/>
  <c r="J27" i="2" s="1"/>
  <c r="G27" i="2"/>
  <c r="D27" i="2"/>
  <c r="G26" i="2"/>
  <c r="H26" i="2" s="1"/>
  <c r="I26" i="2" s="1"/>
  <c r="J26" i="2" s="1"/>
  <c r="D26" i="2"/>
  <c r="J14" i="2"/>
  <c r="H14" i="2"/>
  <c r="I14" i="2" s="1"/>
  <c r="G14" i="2"/>
  <c r="D14" i="2"/>
  <c r="H13" i="2"/>
  <c r="I13" i="2" s="1"/>
  <c r="J13" i="2" s="1"/>
  <c r="G13" i="2"/>
  <c r="D13" i="2"/>
  <c r="K13" i="2" s="1"/>
  <c r="H12" i="2"/>
  <c r="I12" i="2" s="1"/>
  <c r="J12" i="2" s="1"/>
  <c r="K12" i="2" s="1"/>
  <c r="G12" i="2"/>
  <c r="D12" i="2"/>
  <c r="K150" i="2" l="1"/>
  <c r="K198" i="2"/>
  <c r="K164" i="2"/>
  <c r="K130" i="2"/>
  <c r="K81" i="2"/>
  <c r="K135" i="2"/>
  <c r="K169" i="2"/>
  <c r="K148" i="5"/>
  <c r="K33" i="5"/>
  <c r="G26" i="5" s="1"/>
  <c r="J26" i="5" s="1"/>
  <c r="F346" i="1" s="1"/>
  <c r="C7" i="6" s="1"/>
  <c r="D7" i="6" s="1"/>
  <c r="K33" i="2"/>
  <c r="K63" i="2"/>
  <c r="K113" i="5"/>
  <c r="G107" i="5" s="1"/>
  <c r="J107" i="5" s="1"/>
  <c r="K127" i="2"/>
  <c r="K30" i="2"/>
  <c r="K14" i="2"/>
  <c r="G9" i="2" s="1"/>
  <c r="J9" i="2" s="1"/>
  <c r="F350" i="1" s="1"/>
  <c r="K129" i="2"/>
  <c r="K153" i="2"/>
  <c r="K197" i="2"/>
  <c r="K15" i="5"/>
  <c r="G9" i="5" s="1"/>
  <c r="J9" i="5" s="1"/>
  <c r="F345" i="1" s="1"/>
  <c r="C6" i="6" s="1"/>
  <c r="D6" i="6" s="1"/>
  <c r="K115" i="2"/>
  <c r="G217" i="7"/>
  <c r="J217" i="7" s="1"/>
  <c r="K195" i="2"/>
  <c r="K110" i="2"/>
  <c r="G106" i="2" s="1"/>
  <c r="J106" i="2" s="1"/>
  <c r="K27" i="2"/>
  <c r="K64" i="2"/>
  <c r="G59" i="2" s="1"/>
  <c r="J59" i="2" s="1"/>
  <c r="F354" i="1" s="1"/>
  <c r="K163" i="7"/>
  <c r="K184" i="2"/>
  <c r="K210" i="2"/>
  <c r="D26" i="16"/>
  <c r="E26" i="16" s="1"/>
  <c r="K47" i="2"/>
  <c r="K78" i="2"/>
  <c r="K132" i="2"/>
  <c r="K138" i="2"/>
  <c r="K166" i="2"/>
  <c r="K172" i="2"/>
  <c r="K166" i="5"/>
  <c r="K46" i="7"/>
  <c r="K49" i="5"/>
  <c r="G43" i="5" s="1"/>
  <c r="J43" i="5" s="1"/>
  <c r="F347" i="1" s="1"/>
  <c r="C8" i="6" s="1"/>
  <c r="D8" i="6" s="1"/>
  <c r="K152" i="5"/>
  <c r="K167" i="5"/>
  <c r="K182" i="5"/>
  <c r="G177" i="5" s="1"/>
  <c r="J177" i="5" s="1"/>
  <c r="K179" i="7"/>
  <c r="J28" i="10"/>
  <c r="F24" i="10" s="1"/>
  <c r="I24" i="10" s="1"/>
  <c r="F75" i="10"/>
  <c r="I75" i="10" s="1"/>
  <c r="K80" i="2"/>
  <c r="K131" i="2"/>
  <c r="K134" i="2"/>
  <c r="K165" i="2"/>
  <c r="K168" i="2"/>
  <c r="K78" i="5"/>
  <c r="G75" i="5" s="1"/>
  <c r="J75" i="5" s="1"/>
  <c r="K97" i="5"/>
  <c r="G91" i="5" s="1"/>
  <c r="J91" i="5" s="1"/>
  <c r="K128" i="5"/>
  <c r="G122" i="5" s="1"/>
  <c r="J122" i="5" s="1"/>
  <c r="K186" i="5"/>
  <c r="K29" i="7"/>
  <c r="G25" i="7" s="1"/>
  <c r="J25" i="7" s="1"/>
  <c r="K107" i="7"/>
  <c r="G102" i="7" s="1"/>
  <c r="J102" i="7" s="1"/>
  <c r="K121" i="7"/>
  <c r="K195" i="7"/>
  <c r="J12" i="11"/>
  <c r="F170" i="11"/>
  <c r="I170" i="11" s="1"/>
  <c r="F342" i="1" s="1"/>
  <c r="C13" i="12" s="1"/>
  <c r="D13" i="12" s="1"/>
  <c r="K149" i="2"/>
  <c r="G146" i="2" s="1"/>
  <c r="J146" i="2" s="1"/>
  <c r="K209" i="2"/>
  <c r="K98" i="5"/>
  <c r="K12" i="7"/>
  <c r="G9" i="7" s="1"/>
  <c r="J9" i="7" s="1"/>
  <c r="K90" i="7"/>
  <c r="K160" i="7"/>
  <c r="K176" i="7"/>
  <c r="J69" i="10"/>
  <c r="K46" i="2"/>
  <c r="G42" i="2" s="1"/>
  <c r="J42" i="2" s="1"/>
  <c r="F353" i="1" s="1"/>
  <c r="K111" i="2"/>
  <c r="K114" i="2"/>
  <c r="K183" i="2"/>
  <c r="G180" i="2" s="1"/>
  <c r="J180" i="2" s="1"/>
  <c r="K26" i="2"/>
  <c r="K31" i="2"/>
  <c r="K95" i="2"/>
  <c r="G91" i="2" s="1"/>
  <c r="J91" i="2" s="1"/>
  <c r="K66" i="5"/>
  <c r="G61" i="5" s="1"/>
  <c r="J61" i="5" s="1"/>
  <c r="F348" i="1" s="1"/>
  <c r="C10" i="6" s="1"/>
  <c r="D10" i="6" s="1"/>
  <c r="K79" i="5"/>
  <c r="K82" i="5"/>
  <c r="K143" i="5"/>
  <c r="K124" i="7"/>
  <c r="K142" i="7"/>
  <c r="G135" i="7" s="1"/>
  <c r="J135" i="7" s="1"/>
  <c r="K162" i="7"/>
  <c r="F144" i="10"/>
  <c r="I144" i="10" s="1"/>
  <c r="J163" i="10"/>
  <c r="D31" i="17"/>
  <c r="E31" i="17" s="1"/>
  <c r="K147" i="5"/>
  <c r="K212" i="5"/>
  <c r="G208" i="5" s="1"/>
  <c r="J208" i="5" s="1"/>
  <c r="K227" i="5"/>
  <c r="G222" i="5" s="1"/>
  <c r="J222" i="5" s="1"/>
  <c r="K41" i="7"/>
  <c r="K45" i="7"/>
  <c r="K146" i="7"/>
  <c r="K148" i="7"/>
  <c r="K182" i="7"/>
  <c r="K194" i="7"/>
  <c r="G191" i="7" s="1"/>
  <c r="J191" i="7" s="1"/>
  <c r="J12" i="10"/>
  <c r="F9" i="10" s="1"/>
  <c r="I9" i="10" s="1"/>
  <c r="J14" i="11"/>
  <c r="J47" i="11"/>
  <c r="F43" i="11" s="1"/>
  <c r="I43" i="11" s="1"/>
  <c r="J95" i="10"/>
  <c r="F88" i="10" s="1"/>
  <c r="I88" i="10" s="1"/>
  <c r="J57" i="11"/>
  <c r="J92" i="11"/>
  <c r="J105" i="11"/>
  <c r="F102" i="11" s="1"/>
  <c r="I102" i="11" s="1"/>
  <c r="F334" i="1" s="1"/>
  <c r="C15" i="12" s="1"/>
  <c r="D15" i="12" s="1"/>
  <c r="J124" i="11"/>
  <c r="F119" i="11" s="1"/>
  <c r="I119" i="11" s="1"/>
  <c r="F335" i="1" s="1"/>
  <c r="C17" i="12" s="1"/>
  <c r="D17" i="12" s="1"/>
  <c r="K20" i="19"/>
  <c r="K89" i="7"/>
  <c r="G86" i="7" s="1"/>
  <c r="J86" i="7" s="1"/>
  <c r="K123" i="7"/>
  <c r="G117" i="7" s="1"/>
  <c r="J117" i="7" s="1"/>
  <c r="F187" i="1" s="1"/>
  <c r="K209" i="7"/>
  <c r="G203" i="7" s="1"/>
  <c r="J203" i="7" s="1"/>
  <c r="F181" i="11"/>
  <c r="I181" i="11" s="1"/>
  <c r="F340" i="1" s="1"/>
  <c r="C21" i="12" s="1"/>
  <c r="D21" i="12" s="1"/>
  <c r="D26" i="15"/>
  <c r="E26" i="15" s="1"/>
  <c r="G34" i="19"/>
  <c r="J34" i="19" s="1"/>
  <c r="K78" i="7"/>
  <c r="K147" i="7"/>
  <c r="K175" i="7"/>
  <c r="K183" i="7"/>
  <c r="J68" i="10"/>
  <c r="F64" i="10" s="1"/>
  <c r="I64" i="10" s="1"/>
  <c r="J96" i="10"/>
  <c r="J109" i="10"/>
  <c r="F102" i="10" s="1"/>
  <c r="I102" i="10" s="1"/>
  <c r="J112" i="10"/>
  <c r="J124" i="10"/>
  <c r="J79" i="11"/>
  <c r="K164" i="7"/>
  <c r="J57" i="10"/>
  <c r="F53" i="10" s="1"/>
  <c r="I53" i="10" s="1"/>
  <c r="J173" i="10"/>
  <c r="F170" i="10" s="1"/>
  <c r="I170" i="10" s="1"/>
  <c r="J13" i="11"/>
  <c r="J18" i="11"/>
  <c r="J32" i="11"/>
  <c r="F144" i="11"/>
  <c r="I144" i="11" s="1"/>
  <c r="G8" i="19"/>
  <c r="J8" i="19" s="1"/>
  <c r="K74" i="7"/>
  <c r="G70" i="7" s="1"/>
  <c r="J70" i="7" s="1"/>
  <c r="K108" i="7"/>
  <c r="K143" i="7"/>
  <c r="J138" i="10"/>
  <c r="F131" i="10" s="1"/>
  <c r="I131" i="10" s="1"/>
  <c r="J30" i="11"/>
  <c r="F24" i="11" s="1"/>
  <c r="I24" i="11" s="1"/>
  <c r="F329" i="1" s="1"/>
  <c r="C7" i="12" s="1"/>
  <c r="D7" i="12" s="1"/>
  <c r="J35" i="11"/>
  <c r="K12" i="20"/>
  <c r="G9" i="20" s="1"/>
  <c r="J9" i="20" s="1"/>
  <c r="J113" i="10"/>
  <c r="K17" i="19"/>
  <c r="K79" i="20"/>
  <c r="J164" i="10"/>
  <c r="J56" i="11"/>
  <c r="F53" i="11" s="1"/>
  <c r="I53" i="11" s="1"/>
  <c r="F330" i="1" s="1"/>
  <c r="C8" i="12" s="1"/>
  <c r="D8" i="12" s="1"/>
  <c r="J67" i="11"/>
  <c r="F64" i="11" s="1"/>
  <c r="I64" i="11" s="1"/>
  <c r="F331" i="1" s="1"/>
  <c r="C10" i="12" s="1"/>
  <c r="D10" i="12" s="1"/>
  <c r="J78" i="11"/>
  <c r="D30" i="13"/>
  <c r="E30" i="13" s="1"/>
  <c r="K13" i="19"/>
  <c r="D24" i="21"/>
  <c r="E24" i="21" s="1"/>
  <c r="J94" i="11"/>
  <c r="J150" i="11"/>
  <c r="D30" i="18"/>
  <c r="E30" i="18" s="1"/>
  <c r="K15" i="19"/>
  <c r="K18" i="20"/>
  <c r="K50" i="20"/>
  <c r="J48" i="11"/>
  <c r="J68" i="11"/>
  <c r="D52" i="13"/>
  <c r="E52" i="13" s="1"/>
  <c r="K16" i="19"/>
  <c r="K21" i="19"/>
  <c r="K83" i="20"/>
  <c r="J122" i="10"/>
  <c r="F119" i="10" s="1"/>
  <c r="I119" i="10" s="1"/>
  <c r="J31" i="11"/>
  <c r="J34" i="11"/>
  <c r="J134" i="11"/>
  <c r="F131" i="11" s="1"/>
  <c r="I131" i="11" s="1"/>
  <c r="F336" i="1" s="1"/>
  <c r="C19" i="12" s="1"/>
  <c r="D19" i="12" s="1"/>
  <c r="K39" i="19"/>
  <c r="K16" i="20"/>
  <c r="K34" i="20"/>
  <c r="G30" i="20" s="1"/>
  <c r="J30" i="20" s="1"/>
  <c r="K49" i="20"/>
  <c r="G43" i="20" s="1"/>
  <c r="J43" i="20" s="1"/>
  <c r="K64" i="20"/>
  <c r="G61" i="20" s="1"/>
  <c r="J61" i="20" s="1"/>
  <c r="K85" i="20"/>
  <c r="C19" i="14" l="1"/>
  <c r="D19" i="14" s="1"/>
  <c r="D30" i="14" s="1"/>
  <c r="E30" i="14" s="1"/>
  <c r="C19" i="8"/>
  <c r="D19" i="8" s="1"/>
  <c r="D30" i="8" s="1"/>
  <c r="E30" i="8" s="1"/>
  <c r="C6" i="4"/>
  <c r="D6" i="4" s="1"/>
  <c r="C6" i="3"/>
  <c r="D6" i="3" s="1"/>
  <c r="C8" i="4"/>
  <c r="D8" i="4" s="1"/>
  <c r="C8" i="3"/>
  <c r="D8" i="3" s="1"/>
  <c r="D14" i="6"/>
  <c r="C9" i="4"/>
  <c r="D9" i="4" s="1"/>
  <c r="C9" i="3"/>
  <c r="D9" i="3" s="1"/>
  <c r="G75" i="2"/>
  <c r="J75" i="2" s="1"/>
  <c r="F355" i="1" s="1"/>
  <c r="C13" i="3" s="1"/>
  <c r="D13" i="3" s="1"/>
  <c r="G157" i="7"/>
  <c r="J157" i="7" s="1"/>
  <c r="F9" i="11"/>
  <c r="I9" i="11" s="1"/>
  <c r="F328" i="1" s="1"/>
  <c r="C6" i="12" s="1"/>
  <c r="D6" i="12" s="1"/>
  <c r="G172" i="7"/>
  <c r="J172" i="7" s="1"/>
  <c r="F159" i="10"/>
  <c r="I159" i="10" s="1"/>
  <c r="G206" i="2"/>
  <c r="J206" i="2" s="1"/>
  <c r="G161" i="2"/>
  <c r="J161" i="2" s="1"/>
  <c r="G124" i="2"/>
  <c r="J124" i="2" s="1"/>
  <c r="F75" i="11"/>
  <c r="I75" i="11" s="1"/>
  <c r="F332" i="1" s="1"/>
  <c r="C11" i="12" s="1"/>
  <c r="D11" i="12" s="1"/>
  <c r="G38" i="7"/>
  <c r="J38" i="7" s="1"/>
  <c r="G162" i="5"/>
  <c r="J162" i="5" s="1"/>
  <c r="G192" i="2"/>
  <c r="J192" i="2" s="1"/>
  <c r="F88" i="11"/>
  <c r="I88" i="11" s="1"/>
  <c r="F333" i="1" s="1"/>
  <c r="C9" i="12" s="1"/>
  <c r="D9" i="12" s="1"/>
  <c r="G140" i="5"/>
  <c r="J140" i="5" s="1"/>
  <c r="G23" i="2"/>
  <c r="J23" i="2" s="1"/>
  <c r="F352" i="1" s="1"/>
  <c r="G76" i="20"/>
  <c r="J76" i="20" s="1"/>
  <c r="C7" i="3" l="1"/>
  <c r="D7" i="3" s="1"/>
  <c r="D24" i="3" s="1"/>
  <c r="E24" i="3" s="1"/>
  <c r="C7" i="4"/>
  <c r="D7" i="4" s="1"/>
  <c r="D24" i="4" s="1"/>
  <c r="E24" i="4" s="1"/>
  <c r="E14" i="6"/>
  <c r="C16" i="6"/>
  <c r="D29" i="12"/>
  <c r="E29" i="12" l="1"/>
  <c r="D31" i="12"/>
</calcChain>
</file>

<file path=xl/sharedStrings.xml><?xml version="1.0" encoding="utf-8"?>
<sst xmlns="http://schemas.openxmlformats.org/spreadsheetml/2006/main" count="3239" uniqueCount="612">
  <si>
    <t>COCTEL</t>
  </si>
  <si>
    <t>A.AAAAA</t>
  </si>
  <si>
    <t>A.P AJO BLANCO, CON UVA Y SARDINAS.</t>
  </si>
  <si>
    <t>A.P BASE DE AJO BLANCO PRECIO KG.</t>
  </si>
  <si>
    <t>A.P BOMBON DE FOIE CON CONFITURA DE TOMATE Y PAN DE PASAS.</t>
  </si>
  <si>
    <t>A.P BRIOX DE CURRI, SECRETO A BAJA TEMPERATURA Y CEBOLLITA ENCURTIDA.</t>
  </si>
  <si>
    <t>Pau gavalda.</t>
  </si>
  <si>
    <t>A.P BROCHETA DE GAMBA XL, CON PANKO Y CHUTNEY DE MARACUYA.</t>
  </si>
  <si>
    <t>A.P BROCHETA DE POLLO CON SALSA KARE.</t>
  </si>
  <si>
    <t>M.P APERITIVOS.</t>
  </si>
  <si>
    <t>A.P BUFFET DE ARROCES Y FIDEUA.</t>
  </si>
  <si>
    <t>A.P BUFFET DE QUESOS.</t>
  </si>
  <si>
    <t>A.P BUÑUELO DE BACALAO.</t>
  </si>
  <si>
    <t>A.P CARAMELO DE CONFIT DE PATO CON MANZANA SALTEADA Y JENJIBRE.</t>
  </si>
  <si>
    <t>A.P CHUPITO DE AJO BLANCO DE COCO.</t>
  </si>
  <si>
    <t>A.P COCA DE TOMATE SECO, PUERRO CONFITADO Y PETA CRYSPI.</t>
  </si>
  <si>
    <t>A.P CREMA DE AJO BLANCO, SARDINA Y UVA.</t>
  </si>
  <si>
    <t>A.P CROQUETA DE TXULETA, BQT CASABLANCA.</t>
  </si>
  <si>
    <t>A.P CUCURUCHO DE ENSALADILLA CON CAMARONES CRUJIENTES.</t>
  </si>
  <si>
    <t>A.P DEGUSTACION DE ARROZ NEGRO.</t>
  </si>
  <si>
    <t>A.P DEGUSTACION DE CROQUETAS DE SETAS Y CHULETON.</t>
  </si>
  <si>
    <t>A.P DEGUSTACION DE FIDEOS ROSSOS.</t>
  </si>
  <si>
    <t>A.P DUO DE CROQUETAS.</t>
  </si>
  <si>
    <t>A.P ENDIVIAS CON STEAK TARTAR DE SOLOMILLO Y MOSTAZA DE CERVEZA.</t>
  </si>
  <si>
    <t>A.P ESPUMA DE ALLIPEBRE CON PULPO.</t>
  </si>
  <si>
    <t>A.P GAZPACHO DE FRAMBUESA Y BITER KAS.</t>
  </si>
  <si>
    <t>A.P HUMUS CON MELON, MENTA Y PLATANO MACHO.</t>
  </si>
  <si>
    <t>A.P JAMON AL CENTRO EVENTOS SOCIALES.</t>
  </si>
  <si>
    <t>A.P JAMON IBERICO AL CORTE BODAS.</t>
  </si>
  <si>
    <t>A.P JAMON IBERICO Y BUFET DE SURTIDO DE IBERICOS.</t>
  </si>
  <si>
    <t>A.P MEJILLONES MYOGA.</t>
  </si>
  <si>
    <t xml:space="preserve">A.P MINI BURGUER DE PAN DE SESAMO. </t>
  </si>
  <si>
    <t>A.P MINI GOFRE CON SOBRASADA Y MIEL.</t>
  </si>
  <si>
    <t>A.P NINOYAKI DE ATUN.</t>
  </si>
  <si>
    <t>A.P OSTRA DEL DELTA, EN ESCABECHE DE CITRICOS Y GEL DE FRUTA DE LA PASION.</t>
  </si>
  <si>
    <t>A.P PATATA HOJALDRADA.</t>
  </si>
  <si>
    <t>A.P PATATAS BRAVAS CON SALSA PICANTE, BQT CASABLANCA.</t>
  </si>
  <si>
    <t>A.P SALMOREJO DE SANDIA.</t>
  </si>
  <si>
    <t>A.P SURTIDO DE IBERICOS.</t>
  </si>
  <si>
    <t>A.P TARTAR DE SALMON MARINADO.</t>
  </si>
  <si>
    <t xml:space="preserve">Sarda </t>
  </si>
  <si>
    <t>ACEITE DE OLIVA SUAVE 5 LT</t>
  </si>
  <si>
    <t>SARDA</t>
  </si>
  <si>
    <t>ACEITE DE OLIVA VIRGEN EXTRA SALOMO .</t>
  </si>
  <si>
    <t xml:space="preserve">Disbesa. </t>
  </si>
  <si>
    <t>aceite de trufa 250ml. 3,55€ Botella</t>
  </si>
  <si>
    <t xml:space="preserve">ACEITE GIRASOL 5 LT. </t>
  </si>
  <si>
    <t>Agua con gas 1/3.  6,18€. 0,25€ unidad</t>
  </si>
  <si>
    <t xml:space="preserve">Agua Fon vella 1 LT Caja de 12 unid. </t>
  </si>
  <si>
    <t>ZAvicsa</t>
  </si>
  <si>
    <t>Agua Font Vella 1/3 caja de 24 unid. 24,05</t>
  </si>
  <si>
    <t>Aguacate</t>
  </si>
  <si>
    <t>PAU GAVALDA</t>
  </si>
  <si>
    <t>Ají limo</t>
  </si>
  <si>
    <t>Pau GAVALDA</t>
  </si>
  <si>
    <t>Ajo extra entero. makro</t>
  </si>
  <si>
    <t>Ajo Pau Gavalda entero.</t>
  </si>
  <si>
    <t>Ajo rojo extra a granel.</t>
  </si>
  <si>
    <t>M.PCarnes bundo</t>
  </si>
  <si>
    <t>Ajo rojo pelado. pqt 1 kg.</t>
  </si>
  <si>
    <t>Albahaca</t>
  </si>
  <si>
    <t>Albahaca bandeja de 80 gr. 2,00€</t>
  </si>
  <si>
    <t>Albahaca. bandeja 125 gr.</t>
  </si>
  <si>
    <t>Alcachofas.</t>
  </si>
  <si>
    <t>Sarda</t>
  </si>
  <si>
    <t>Alfiler</t>
  </si>
  <si>
    <t>Almendra tostada repelada</t>
  </si>
  <si>
    <t>Almodi petit blanc.</t>
  </si>
  <si>
    <t>bodega</t>
  </si>
  <si>
    <t>Ameja gallega G</t>
  </si>
  <si>
    <t>PESCADO JOPEP</t>
  </si>
  <si>
    <t xml:space="preserve">Anchoa D.Bocarte. Bandeja 115 gr- 9,84€ </t>
  </si>
  <si>
    <t>AVICSA</t>
  </si>
  <si>
    <t>Aperitivo en mesa. calçots en tempura con romesco al estilo mejicano de cacahuete.</t>
  </si>
  <si>
    <t xml:space="preserve">Anchoa lata de 115 g. A. virgen.  8,55€ 100 gr. </t>
  </si>
  <si>
    <t>Anchoa Noemar tarrina de 120 unid. 0,32€ unid. 38,87 bandeja de 700 gr.</t>
  </si>
  <si>
    <t>Aperitivo completo para calçotada.</t>
  </si>
  <si>
    <t>Apionabo. makro</t>
  </si>
  <si>
    <t>Aquarius Limon lata 33cl*24</t>
  </si>
  <si>
    <t>Aquarius Naranja lata 33cl*24</t>
  </si>
  <si>
    <t>Arandanos bandeja 125 gr. ( 1,65€)</t>
  </si>
  <si>
    <t>Aros metalicos 6 moldes.</t>
  </si>
  <si>
    <t>MAKRO</t>
  </si>
  <si>
    <t>ATUN CLARO. OVIDIO. LATA 1 KG</t>
  </si>
  <si>
    <t xml:space="preserve">AVELLANA APERITIVO TOSTADA REPELADA </t>
  </si>
  <si>
    <t>AVELLANA TOSTADA PELADA.</t>
  </si>
  <si>
    <t xml:space="preserve">Azafran /0,4 gr). pote. 2,09€- </t>
  </si>
  <si>
    <t>AZUCAR</t>
  </si>
  <si>
    <t>Azucar sobres. Caja 1000 unid. 18,03</t>
  </si>
  <si>
    <t>EUROESTRELLA</t>
  </si>
  <si>
    <t xml:space="preserve">Barra 5 semillas. Masa madre 300 gr. </t>
  </si>
  <si>
    <t>ALVILARDAN</t>
  </si>
  <si>
    <t>Barra o Forno Galego 18*280 gr.  1 caja. (13,85€) unid. 0,76€</t>
  </si>
  <si>
    <t>Bayas enebro</t>
  </si>
  <si>
    <t xml:space="preserve">Berengena </t>
  </si>
  <si>
    <t>Biberon 3 unid. (4,69€. 15cl. 3 unid).</t>
  </si>
  <si>
    <t>Boda entrante.carpaccio de gambon con aguachile de citricos, mayonesa de tamarindo y olivas de kalamata.</t>
  </si>
  <si>
    <t>Boda pan unidad.</t>
  </si>
  <si>
    <t>Boda Postre. Marquesa de mandarina con cava y menta.</t>
  </si>
  <si>
    <t>Boda principal.Suquet de lomo de bacalao con achiote y patatas al azafran.</t>
  </si>
  <si>
    <t>Boniato. kg</t>
  </si>
  <si>
    <t>Botifarra blanca grande.</t>
  </si>
  <si>
    <t>BUNDO.</t>
  </si>
  <si>
    <t>Botifarra de cebolla. carnes palau.</t>
  </si>
  <si>
    <t>CARNES PALAU</t>
  </si>
  <si>
    <t>Butifarra  fresca corta 14.cm. calçots. 90 gr porcianda</t>
  </si>
  <si>
    <t>Butifarra negra* calçotada racionada a 70 gr.</t>
  </si>
  <si>
    <t>Botifarra negra tombada. Carnes palau.</t>
  </si>
  <si>
    <t>CARNES PALAU.</t>
  </si>
  <si>
    <t>Brocoli.</t>
  </si>
  <si>
    <t>Burrata 6 uni</t>
  </si>
  <si>
    <t>Makro</t>
  </si>
  <si>
    <t>Butifarra sin cortar.</t>
  </si>
  <si>
    <t>Calabacin. makro.</t>
  </si>
  <si>
    <t>Calabaza cacahuete. makro</t>
  </si>
  <si>
    <t>MAKRO.SARDA</t>
  </si>
  <si>
    <t>Calabaza dados 400 gr.</t>
  </si>
  <si>
    <t>Calçots Valls. Cocinados.</t>
  </si>
  <si>
    <t>MAJOLS</t>
  </si>
  <si>
    <t>Calçots Valls. Majols. crudos</t>
  </si>
  <si>
    <t>Tot Selecte</t>
  </si>
  <si>
    <t>Callos blancos cort. ternera.. carnes palau.</t>
  </si>
  <si>
    <t>Cafe descafeinado de capsula. 442,86€  caja de 100 unid.</t>
  </si>
  <si>
    <t>Cafe Natural. 1 kg. 120 cafes. 24,48€  .kg. 0,22 unid</t>
  </si>
  <si>
    <t>Vermouth Padro</t>
  </si>
  <si>
    <t>Cane de ñora " la legua". bote 650 gr.</t>
  </si>
  <si>
    <t>Vermuth Padro.</t>
  </si>
  <si>
    <t>CANELA EN RAMA BOTE</t>
  </si>
  <si>
    <t xml:space="preserve">Cargas de sifon crema  ISI. 10 unid. 6,45 pqt. </t>
  </si>
  <si>
    <t>Carquiñolis. 200 gr. 3,75€ pqt</t>
  </si>
  <si>
    <t>Carxofa confitada flor</t>
  </si>
  <si>
    <t>Cava Petit Instant. Botella</t>
  </si>
  <si>
    <t>Camp Alt.</t>
  </si>
  <si>
    <t>PETIT INTSTANT</t>
  </si>
  <si>
    <t>CAVA ROGER DE FLOR</t>
  </si>
  <si>
    <t>Cayena entera.</t>
  </si>
  <si>
    <t>Cebolla blanca.</t>
  </si>
  <si>
    <t xml:space="preserve">Cebolla chalota.   </t>
  </si>
  <si>
    <t>Cebolla chalota. bolsa de 500 gr./ 2,69€</t>
  </si>
  <si>
    <t>Cebolla morada.</t>
  </si>
  <si>
    <t>Cebolla tierna. 1,50€ manojo.</t>
  </si>
  <si>
    <t>Cebollino bandeja. 125 gr. makro.</t>
  </si>
  <si>
    <t>Cep congelat</t>
  </si>
  <si>
    <t>Ceps troceado congelado. kg</t>
  </si>
  <si>
    <t>Alvilardan</t>
  </si>
  <si>
    <t xml:space="preserve">Cerdo Codillo. </t>
  </si>
  <si>
    <t xml:space="preserve">Alvilardan </t>
  </si>
  <si>
    <t>Cerveza caña.</t>
  </si>
  <si>
    <t>Chuleta de corderdo para calçotada con riñonada. caja 3 kg</t>
  </si>
  <si>
    <t>Ceviche de corvina con agua chile verde y granada</t>
  </si>
  <si>
    <t>Chirivia.</t>
  </si>
  <si>
    <t>Chorizo Criollo  carnes palau.</t>
  </si>
  <si>
    <t>Chorizo Criollo.</t>
  </si>
  <si>
    <t>Chorizo Sarta picante. Carnes palau.</t>
  </si>
  <si>
    <t>Chuleta lomo bajo 300-350g</t>
  </si>
  <si>
    <t>Cilantro</t>
  </si>
  <si>
    <t xml:space="preserve">CLOS PINELL  TERRA TINTO ALTA </t>
  </si>
  <si>
    <t xml:space="preserve">CLOS PINELL BLANC TERRA ALTA </t>
  </si>
  <si>
    <t>Coca-cola Lata 33cl*24. sin cargo 3 pqt</t>
  </si>
  <si>
    <t>DISBESA</t>
  </si>
  <si>
    <t>Costilla cordero * calçotada. congelada caja 3 kg.</t>
  </si>
  <si>
    <t>Coctel Brocheta de langostino XXL con mayocate.</t>
  </si>
  <si>
    <t>Coctel Croqueta de tocho morocho con mayonesa de mole poblano.</t>
  </si>
  <si>
    <t>Coctel Degustacion de arroz negro con frijoles, camarones y alioli de lima.</t>
  </si>
  <si>
    <t>Coctel Guacamole con totopos.</t>
  </si>
  <si>
    <t>Coctel Taco de pastor de carrilera de cerdo y mayonesa de achiote</t>
  </si>
  <si>
    <t>Cogollos paquete de 3 unid.</t>
  </si>
  <si>
    <t>Corvina entera filetadas. 13,75€ bruto mas el 65% merma.</t>
  </si>
  <si>
    <t>PESCADO JOSEP</t>
  </si>
  <si>
    <t>Pescado Josep</t>
  </si>
  <si>
    <t>Corvina fileteada</t>
  </si>
  <si>
    <t>Costilla cerdo</t>
  </si>
  <si>
    <t>Pescado Josep.</t>
  </si>
  <si>
    <t>Coulant de chocolate</t>
  </si>
  <si>
    <t>ASSOLIN</t>
  </si>
  <si>
    <t>Ensalada para calçotada terminada lechuga de pages.</t>
  </si>
  <si>
    <t>M.P</t>
  </si>
  <si>
    <t>M.P ELABORADOS.</t>
  </si>
  <si>
    <t>Crema catalana quemada con carquiñoli.</t>
  </si>
  <si>
    <t>Crema Catalana.</t>
  </si>
  <si>
    <t>Croissant mantequilla. Assolim/ fementado. 40*95 gr. 35,14€.</t>
  </si>
  <si>
    <t>LE GUSTA A RON</t>
  </si>
  <si>
    <t>Croissant mantequilla. fementado. 80. gr. caja 41,22€</t>
  </si>
  <si>
    <t>Croqueta cocido . ( caja 4 kg).  30,49€</t>
  </si>
  <si>
    <t xml:space="preserve">Croqueta de Rabo de toro. Bandeja de 200 gr. 6,47€. </t>
  </si>
  <si>
    <t>Cuarto Trasero de pollo. Carnes palau.</t>
  </si>
  <si>
    <t>Curcuma. en povo. MAKRO.</t>
  </si>
  <si>
    <t>MAKRO.</t>
  </si>
  <si>
    <t>Curry polvo.</t>
  </si>
  <si>
    <t xml:space="preserve">Ensaladilla rusa atun. 250 gr. 3,22€- </t>
  </si>
  <si>
    <t>Ensaladilla Rusa. Bandeja de 250 gr. 3,22€ bandeja.</t>
  </si>
  <si>
    <t>Fuet cortado bandeja de 1 kg* calçotada.</t>
  </si>
  <si>
    <t>Fuet tradicional precio kg* calçotada.</t>
  </si>
  <si>
    <t>Entraña de ternera. Carnes palau.</t>
  </si>
  <si>
    <t xml:space="preserve">Escalonia pelada. </t>
  </si>
  <si>
    <t xml:space="preserve">Esparrago verde triguero. manojo 400 gr.5,85€ </t>
  </si>
  <si>
    <t>ESPARRAGOS 9/12 LATA EXTRA 1 KG</t>
  </si>
  <si>
    <t>Film industrial. Caja de 3 unid. 13,77€ pqt 3 unid.</t>
  </si>
  <si>
    <t>Finger solomillo pollo rebozado. caja de 4 kg.  45,19€</t>
  </si>
  <si>
    <t>Flor pensamiento bandeja de 30 gr.</t>
  </si>
  <si>
    <t>Flores</t>
  </si>
  <si>
    <t>Foie mi cuit 250g</t>
  </si>
  <si>
    <t>Frambuesa bandeja 125gr. (2,09€).</t>
  </si>
  <si>
    <t xml:space="preserve">Frambuesa MC-125 gr. (2,05€). </t>
  </si>
  <si>
    <t>Gelespesa goma xantana sosa. bote 500 gr. ( 10,95€) bote</t>
  </si>
  <si>
    <t xml:space="preserve">Ginebra barata. limpiar. botella lt. </t>
  </si>
  <si>
    <t>Harina TEmpura samlip 1 kg.</t>
  </si>
  <si>
    <t>Hielo cubitos. Saco de 4 unid. bolsa a 1,25</t>
  </si>
  <si>
    <t>HIELO</t>
  </si>
  <si>
    <t xml:space="preserve">Hierbabuena. bandeja 125 gr. </t>
  </si>
  <si>
    <t>Huesos de ternera. kg</t>
  </si>
  <si>
    <t>Huevos "L" Granja Vidal, pqt de 6 unid: 1,60€</t>
  </si>
  <si>
    <t>Huevos pqt 6 Gavaldà</t>
  </si>
  <si>
    <t>Infusion  . Te verde. 1*15 unid.5,81€ caja</t>
  </si>
  <si>
    <t>Infusion Manzanilla. 1*15 unid. 5,81€ caja</t>
  </si>
  <si>
    <t>Infusion Menta Poleo.  1*15 unid. 5,81</t>
  </si>
  <si>
    <t xml:space="preserve">Jamon de bellota. corta a cuchillo. sobre de 80 gr. unid. 149.35 precio kg. ojo cambiar </t>
  </si>
  <si>
    <t>Jamoncito de pollo. carnes palau.</t>
  </si>
  <si>
    <t>Jenjibre bandeja de 500 gr.</t>
  </si>
  <si>
    <t>Asssolim</t>
  </si>
  <si>
    <t>Mecha de cera de abeja organica, para hacer velas de aceite. 18,20 pqt. pesar y calcular kg</t>
  </si>
  <si>
    <t>Leche entera.</t>
  </si>
  <si>
    <t xml:space="preserve">Lechuga de pages larga. 1,00€ unid. </t>
  </si>
  <si>
    <t>MENU CALÇOTADA BOTIFARRA MONGETES BLANCAS</t>
  </si>
  <si>
    <t>MENU CALÇOTADA BOTIFARRA MONGETES DEL GANXET</t>
  </si>
  <si>
    <t>MENU CALÇOTADA CORDERO Y BOTIFARRA NEGRA.</t>
  </si>
  <si>
    <t>MENU CALÇOTADA GUARNICION DE CORDERO.</t>
  </si>
  <si>
    <t>Limon BIO  Caja-2/6. 500 gr. (2,14€)</t>
  </si>
  <si>
    <t>MENU CALÇOTADA NARANJA CON MIEL. POR PAX.</t>
  </si>
  <si>
    <t>MENU Calçotada Vermuth</t>
  </si>
  <si>
    <t>MENU CALÇOTADA. CESTA DE PAN, TOMATE Y AJO.</t>
  </si>
  <si>
    <t>Limones extra.</t>
  </si>
  <si>
    <t>L'orangette</t>
  </si>
  <si>
    <t>Lomo embuchado blanco.</t>
  </si>
  <si>
    <t>Macarrones Penne rigatoni. makro. 1 kg</t>
  </si>
  <si>
    <t>MAIZ DULCE LATA 400 GR. (0,75€) LATA.</t>
  </si>
  <si>
    <t>MAIZENA 700 GR.</t>
  </si>
  <si>
    <t>Manitas de pie de cerdo cocidas. Carnes palau.</t>
  </si>
  <si>
    <t>Mantequilla Asturiana. Bloque 1 kg.</t>
  </si>
  <si>
    <t>Mantequilla pulerva 1 kg</t>
  </si>
  <si>
    <t>Mayonesa 2,2kg</t>
  </si>
  <si>
    <t>Mayonesa. bote 750 ml. MAKRO.</t>
  </si>
  <si>
    <t xml:space="preserve">Mejillon gallego. </t>
  </si>
  <si>
    <t>menta manojo de 100 gr. 1,20€ manojo.</t>
  </si>
  <si>
    <t>Merluza de palangre. 15,00€ bruto,  24,00€</t>
  </si>
  <si>
    <t xml:space="preserve">Mermelada naranja amarga. bote de 800 gr.  (5,93€) </t>
  </si>
  <si>
    <t>Mezclum restauracion. primaflor. bolsa de 500 gr. 2,75€</t>
  </si>
  <si>
    <t>Microbrotes</t>
  </si>
  <si>
    <t>Miel del perello</t>
  </si>
  <si>
    <t>Mirrah blanco. botella de 1 lt</t>
  </si>
  <si>
    <t>VERMOUTH PADRO.</t>
  </si>
  <si>
    <t xml:space="preserve">Mirrah. rojo 15% 5 l. 15,01€ precio backin box </t>
  </si>
  <si>
    <t>MONGETAS NATURALES. 3 KG( 2,89€ LATA DE 3 KG).</t>
  </si>
  <si>
    <t>Mongetes del ganxet. lata de 3 kg-17,22€</t>
  </si>
  <si>
    <t>Mora bandeja 125 gr. (2,09€).</t>
  </si>
  <si>
    <t>Nachos 750g</t>
  </si>
  <si>
    <t>Naranja de zumo.</t>
  </si>
  <si>
    <t>Naranja extra de mesa.</t>
  </si>
  <si>
    <t xml:space="preserve">Nata Crema 12% president. brick 1 lt.  President. </t>
  </si>
  <si>
    <t>Nata krona pastelera 30% .  1 LT.</t>
  </si>
  <si>
    <t xml:space="preserve">Nata liquida. Debic. </t>
  </si>
  <si>
    <t xml:space="preserve">Nata Montar 35 %. President. Brick 1 Lt. President. </t>
  </si>
  <si>
    <t>OLIVAS ARBERQUINAS EXTRA. 10 KG. 24,90€ BOTE DE 10 KG</t>
  </si>
  <si>
    <t>OLIVAS CHUPADEDOS LATA 2,5 KG.10,25€</t>
  </si>
  <si>
    <t>OLIVAS PARTIDAS DE LA ABUELA LATA 2,5 KG. 9,95€</t>
  </si>
  <si>
    <t>OLIVAS RELLENAS GIGANTES LATA 2 KG. 4,79€</t>
  </si>
  <si>
    <t>Packchoy.</t>
  </si>
  <si>
    <t>Paleta iberico cebo.</t>
  </si>
  <si>
    <t>Paletilla jamón casa marcial</t>
  </si>
  <si>
    <t>Palitos pan</t>
  </si>
  <si>
    <t>Pan cristal precortado. (3,200 gr). 64 *50. 26,78€ Caja. 0,20€ medio trozo.</t>
  </si>
  <si>
    <t>Pan de cristal</t>
  </si>
  <si>
    <t>Pan de pages de Forn Virgili. Precio kg</t>
  </si>
  <si>
    <t>VIRGILI POBLA MONTORNES</t>
  </si>
  <si>
    <t>Pan individual rombo makro</t>
  </si>
  <si>
    <t>Pansalud origen masa madre 350 gr.  unid.</t>
  </si>
  <si>
    <t xml:space="preserve">Papel Secamano. Reg. natural 2 capas. </t>
  </si>
  <si>
    <t>SARDA/DISBESA</t>
  </si>
  <si>
    <t>Papel Sigma A3 80 GR. 500 H .</t>
  </si>
  <si>
    <t>Parrillada de verduras. Precio Pax.</t>
  </si>
  <si>
    <t>Patata Monalisa.</t>
  </si>
  <si>
    <t>Patatas Bravas. menu BBQ. Precio pax.</t>
  </si>
  <si>
    <t>Pepino.</t>
  </si>
  <si>
    <t>perejil manojo, 0,85 manojo.</t>
  </si>
  <si>
    <t>Picada de ajo y perejil.</t>
  </si>
  <si>
    <t>Picatiostes</t>
  </si>
  <si>
    <t>Piel de bacalao.</t>
  </si>
  <si>
    <t>Cam Alt.</t>
  </si>
  <si>
    <t xml:space="preserve">Pierna Cordero. </t>
  </si>
  <si>
    <t>Pierna de cordero. c. palau.</t>
  </si>
  <si>
    <t>Pies de cerdo</t>
  </si>
  <si>
    <t xml:space="preserve">PIMENTON DULCE DE LA VERA </t>
  </si>
  <si>
    <t>Pimienta negra molida.</t>
  </si>
  <si>
    <t>Pimiento amarillo.</t>
  </si>
  <si>
    <t>PIMIENTO DE PIQUILLO LATA 1/2 KG.</t>
  </si>
  <si>
    <t>Pimiento del padron.</t>
  </si>
  <si>
    <t>Pimiento rojo</t>
  </si>
  <si>
    <t>Pimiento verde.</t>
  </si>
  <si>
    <t>Pollo Carcasas. kg</t>
  </si>
  <si>
    <t>Pollo muslo fresco.</t>
  </si>
  <si>
    <t xml:space="preserve">Salsa Calçot. </t>
  </si>
  <si>
    <t>Pomelo. kg</t>
  </si>
  <si>
    <t>PRUEBA FERRAN</t>
  </si>
  <si>
    <t>PRUEBA</t>
  </si>
  <si>
    <t>Puerro limpio.</t>
  </si>
  <si>
    <t>Queso Altejo moli de ger Vaca.</t>
  </si>
  <si>
    <t>Queso Azul Blau Cereta. Moli de ger.</t>
  </si>
  <si>
    <t xml:space="preserve">Queso Garrotxa Cabra. Bauma. </t>
  </si>
  <si>
    <t>Queso rallado granapadano.</t>
  </si>
  <si>
    <t>Queso Serrat Cruda de oveja.</t>
  </si>
  <si>
    <t>Ragout añojo. kg</t>
  </si>
  <si>
    <t>Reposteri Dulce Surtido. 3 kg. 154 unid. 0,35€/ 55,32€</t>
  </si>
  <si>
    <t>Romero</t>
  </si>
  <si>
    <t>Rucula sevaltica.</t>
  </si>
  <si>
    <t xml:space="preserve">Sacarina caja 150 unid. 4,88€. </t>
  </si>
  <si>
    <t>Tarta de celebracion CAL JAN</t>
  </si>
  <si>
    <t>Sal gruesa</t>
  </si>
  <si>
    <t>Sal negra en escamas.</t>
  </si>
  <si>
    <t>Salchica gruesa de cerdo.</t>
  </si>
  <si>
    <t>Salchichon iberico.</t>
  </si>
  <si>
    <t>Salsa Allioli. natural. bote de 1 lt.</t>
  </si>
  <si>
    <t>Salsa brava Mas Boronat</t>
  </si>
  <si>
    <t xml:space="preserve">Salsa Brava. bote de 1,850. precio bote 5,20€. Coosur. </t>
  </si>
  <si>
    <t>Salsa Hp 255 gr. (2,65€) botella</t>
  </si>
  <si>
    <t>Salsa romesco.</t>
  </si>
  <si>
    <t>Salsa Valentina</t>
  </si>
  <si>
    <t>Variado de verduras. para caldo. makro</t>
  </si>
  <si>
    <t>Salsa Verde</t>
  </si>
  <si>
    <t>salsa worcerthire. botella 150 ml. (botella 2,99€)</t>
  </si>
  <si>
    <t>Servilleta MPRO 2C40 200 UNI NATU. 6,89€</t>
  </si>
  <si>
    <t>Servilleta MPRO 30*4 NATURAL.</t>
  </si>
  <si>
    <t xml:space="preserve">Vino negro Calçotada. BAG IN BOX. 20 LT. NEGRO. CELLER MAS ROIG. (35,57€). </t>
  </si>
  <si>
    <t xml:space="preserve">Servilleta negra 2C. 20*20. 100*30. (36,50 CAJA). unidad. </t>
  </si>
  <si>
    <t>Seta colmenilla deshidrada</t>
  </si>
  <si>
    <t>Seta de cardo.</t>
  </si>
  <si>
    <t>Sneeken pasa y nueces. fementado. 125 gr. unid</t>
  </si>
  <si>
    <t>Solomillo cerdo</t>
  </si>
  <si>
    <t xml:space="preserve">Solomillo de ternera </t>
  </si>
  <si>
    <t>Super Croissant mantequilla. facil 40*95gr.  Caja 34,14€. UNID.0,87 unid</t>
  </si>
  <si>
    <t>Tabla de embutidos y quesos variados.</t>
  </si>
  <si>
    <t>Tabla de queso "Fromelier". 150 gr. (5 var*30 gr). 43,30€ precio kg</t>
  </si>
  <si>
    <t>Tomaco granel</t>
  </si>
  <si>
    <t>Tomate Cherry mixto.</t>
  </si>
  <si>
    <t>Tomate Cor de Bou.</t>
  </si>
  <si>
    <t>Tomate doble concentrado. 130 gr. (tubo 1,76€).</t>
  </si>
  <si>
    <t>Tomate Extasis.</t>
  </si>
  <si>
    <t xml:space="preserve">Tomate Frito. Helios. Makro. </t>
  </si>
  <si>
    <t>Tomate Maduro.</t>
  </si>
  <si>
    <t>Tomate Pera.</t>
  </si>
  <si>
    <t>Tomate rallado</t>
  </si>
  <si>
    <t>Tomate Rama.</t>
  </si>
  <si>
    <t>Tomillo</t>
  </si>
  <si>
    <t>Tortillas maiz</t>
  </si>
  <si>
    <t>Vainilla fresca en rama madagascar. Vaina de 3 gr: 5,00€ unid</t>
  </si>
  <si>
    <t>Vinagre de jerez</t>
  </si>
  <si>
    <t>Vinagre de modena garrafa de 5 lt.</t>
  </si>
  <si>
    <t>Vinagreta clasica.</t>
  </si>
  <si>
    <t>Vino L'oratge blanc 2024.(  promocion 20unid+4)</t>
  </si>
  <si>
    <t>Wax concept. 500 gr. Sosa. para velas de aceite. 47,50 bote.</t>
  </si>
  <si>
    <t>Yema de huevo liquido. Bote 1 lt.</t>
  </si>
  <si>
    <t>Zanahorias.</t>
  </si>
  <si>
    <t>Zumo  de pera y manzana.  Botella  250 gr. pqt- de 6 unid. 2,16€ pack</t>
  </si>
  <si>
    <t>Zumo de melocoton y uva. Botella 250 gr. pqt- de 6 unid. 2,16€ pack.</t>
  </si>
  <si>
    <t>Zumo de Naranja. 6-250 gr. pqt de 6 unid. 2,78€ pack</t>
  </si>
  <si>
    <t>Zumo naranja 1,5 Lt. pack de 6 unid. 29,45€. 4,90€ botella. (litro 3,26€ Lt).</t>
  </si>
  <si>
    <t>Galtes porc</t>
  </si>
  <si>
    <t>Hamburguesa vegana</t>
  </si>
  <si>
    <t>Gamba paella</t>
  </si>
  <si>
    <t>Panko</t>
  </si>
  <si>
    <t>Salsa naranja</t>
  </si>
  <si>
    <t>Pico de gallo</t>
  </si>
  <si>
    <t>Ceviche de corvina</t>
  </si>
  <si>
    <t>Taco de Carrillera porc</t>
  </si>
  <si>
    <t>Guacamole y totopos</t>
  </si>
  <si>
    <t>Pan de cristal con jamón</t>
  </si>
  <si>
    <t>Tabla de quesos</t>
  </si>
  <si>
    <t>Brocheta langostino</t>
  </si>
  <si>
    <t>Crema calenta tomàquet</t>
  </si>
  <si>
    <t>Flor de alcachofa con jamón</t>
  </si>
  <si>
    <t>Solomillo de cerdo con parmentier patata i salsa naranja</t>
  </si>
  <si>
    <t>Flor de hibiscus</t>
  </si>
  <si>
    <t>Pata pulpo 250g</t>
  </si>
  <si>
    <t>Sorbete mandarina 5kg</t>
  </si>
  <si>
    <t>Sorbete mandarina boda</t>
  </si>
  <si>
    <t>Agua de jamaica</t>
  </si>
  <si>
    <t>Agua de limón</t>
  </si>
  <si>
    <t>M.P menú infantil Pollo rebozado con patatas</t>
  </si>
  <si>
    <t>Ferran</t>
  </si>
  <si>
    <t>M.P Menú infantil Boloñesa</t>
  </si>
  <si>
    <t>Carpaccio de tomate con burrata y aceite albahaca</t>
  </si>
  <si>
    <t>Huevos rotos con jamón y foie</t>
  </si>
  <si>
    <t>Vaso Pulpo a la feira</t>
  </si>
  <si>
    <t>Chuleta lomo bajo con pimiento del piquillo y alcachofa</t>
  </si>
  <si>
    <t>Gilda MasBoronat</t>
  </si>
  <si>
    <t>Vermuth rojo con Gilda MasBoronat</t>
  </si>
  <si>
    <t>Encurtidos tartar</t>
  </si>
  <si>
    <t>Ensaladilla de Gamba</t>
  </si>
  <si>
    <t>Tartar de fuet</t>
  </si>
  <si>
    <t>Calçots en tempura!!!</t>
  </si>
  <si>
    <t>Parrillada bbq fin de semana</t>
  </si>
  <si>
    <t>gptt</t>
  </si>
  <si>
    <t>f</t>
  </si>
  <si>
    <t>gr</t>
  </si>
  <si>
    <t>g.g.</t>
  </si>
  <si>
    <t>g</t>
  </si>
  <si>
    <t>CALÇOTADA MAS BORONAT</t>
  </si>
  <si>
    <t>FICHA TÉCNICA PLATO</t>
  </si>
  <si>
    <t>ARTÍCULO</t>
  </si>
  <si>
    <t>Vermouth rojo con Gilda MasBoronat</t>
  </si>
  <si>
    <t>TAPA</t>
  </si>
  <si>
    <t>ELABORADOS.</t>
  </si>
  <si>
    <t>unid.</t>
  </si>
  <si>
    <t>Coste TOTAL</t>
  </si>
  <si>
    <t>Coste KG:</t>
  </si>
  <si>
    <t>ARTICULO</t>
  </si>
  <si>
    <t>KG</t>
  </si>
  <si>
    <t>€/UN</t>
  </si>
  <si>
    <t>BRUTO</t>
  </si>
  <si>
    <t>NETO</t>
  </si>
  <si>
    <t>%NETO</t>
  </si>
  <si>
    <t>%DESP</t>
  </si>
  <si>
    <t>DESP</t>
  </si>
  <si>
    <t>SUCIO</t>
  </si>
  <si>
    <t>€ / RACION</t>
  </si>
  <si>
    <t>Ensaladilla de gamba</t>
  </si>
  <si>
    <t>ELABORADOS</t>
  </si>
  <si>
    <t>PRECIO DE VENTA P.V.P</t>
  </si>
  <si>
    <t>Coste UNID:</t>
  </si>
  <si>
    <t>Tartar de fuet con encurtidos</t>
  </si>
  <si>
    <t>Calçot en tempura y salsa romesco</t>
  </si>
  <si>
    <t>PAX</t>
  </si>
  <si>
    <t>GUARNICION DE CALÇOTADA.</t>
  </si>
  <si>
    <t>Coste pax</t>
  </si>
  <si>
    <t>CORDERO y butifarra N CALÇOTADA</t>
  </si>
  <si>
    <t>2 chuletas</t>
  </si>
  <si>
    <t>1 costilla</t>
  </si>
  <si>
    <t>SALSA ROMESCO PARA CALÇOTS.</t>
  </si>
  <si>
    <t>Coste KG</t>
  </si>
  <si>
    <t>APERITIVO CALÇOTADA.</t>
  </si>
  <si>
    <t>CALÇOTADA EN MESA A COMPARTIR ENSALADA VERDE</t>
  </si>
  <si>
    <t>Medio esparrago por persona. total de cada lata 20 unid de 10 unid</t>
  </si>
  <si>
    <t>VINAGRETA CLASICA</t>
  </si>
  <si>
    <t>CALÇOTADA EN MESA PAN PAGES, TOMACO Y AJO.</t>
  </si>
  <si>
    <t>MENU BBQ FIN DE SEMANA 45€ CARTA. 01/04/2026</t>
  </si>
  <si>
    <t>APERITIVO.</t>
  </si>
  <si>
    <t>P.V.P</t>
  </si>
  <si>
    <t xml:space="preserve">NETO </t>
  </si>
  <si>
    <t>COSTO</t>
  </si>
  <si>
    <t>FOOD COST</t>
  </si>
  <si>
    <t>CALÇOTADA. APERITIVO CARTA</t>
  </si>
  <si>
    <t>GR O KG.</t>
  </si>
  <si>
    <t>PRECIO KG</t>
  </si>
  <si>
    <t>EUROS/RACION.</t>
  </si>
  <si>
    <t>EN MESA.</t>
  </si>
  <si>
    <t>POSTRES</t>
  </si>
  <si>
    <t>ESCANDALLO</t>
  </si>
  <si>
    <t>MENU BBQ 45€ CARTA. 01/04/2026</t>
  </si>
  <si>
    <t>Carpaccio de tomate con burrata i aceite albahaca</t>
  </si>
  <si>
    <t>Huevos rotos con jamón i foie</t>
  </si>
  <si>
    <t>COSTE UNID.</t>
  </si>
  <si>
    <t>Coste unid:</t>
  </si>
  <si>
    <t>Pulpo a la feira a la brasa</t>
  </si>
  <si>
    <t>Chuleta lomo bajo con pimiento de piquillo y alcachofa</t>
  </si>
  <si>
    <t>Botifarra con mongetes del ganxet.</t>
  </si>
  <si>
    <t>MENU BBQ 95€  13-03-26</t>
  </si>
  <si>
    <t>Entrantes</t>
  </si>
  <si>
    <t>Plato principal</t>
  </si>
  <si>
    <t>Vermouth rojo</t>
  </si>
  <si>
    <t>Naranja con miel</t>
  </si>
  <si>
    <t>Crema catalana.</t>
  </si>
  <si>
    <t>Crema Catalana quemada con carquiñoli.</t>
  </si>
  <si>
    <t>MENU CALÇOTADA CARTA. 15-12-25</t>
  </si>
  <si>
    <t>CALÇOTADA ILIMITADA.</t>
  </si>
  <si>
    <t>PRINCIPAL</t>
  </si>
  <si>
    <t>Boda 31-1</t>
  </si>
  <si>
    <t>Patatas Bravas</t>
  </si>
  <si>
    <t>Tabla de queso con pan de cristal</t>
  </si>
  <si>
    <t>Tabla de jamón iberico con pan de cristal</t>
  </si>
  <si>
    <t>Fingers pollo</t>
  </si>
  <si>
    <t>Pulpo a la gallega</t>
  </si>
  <si>
    <t>Crema calenta de tomàquet</t>
  </si>
  <si>
    <t>Solomillo de cerdo</t>
  </si>
  <si>
    <t>,</t>
  </si>
  <si>
    <t>Sorbete mandarina</t>
  </si>
  <si>
    <t>Taco de carrillera</t>
  </si>
  <si>
    <t>Guacamole i totopos</t>
  </si>
  <si>
    <t xml:space="preserve">MENU BODA </t>
  </si>
  <si>
    <t>COCTEL BIENVENIDA EN LA PLAZA 1 HORA</t>
  </si>
  <si>
    <t>Entrante</t>
  </si>
  <si>
    <t>PRIMERO.</t>
  </si>
  <si>
    <t>SEGUNDO</t>
  </si>
  <si>
    <t>POSTRE</t>
  </si>
  <si>
    <t>BODEGA, PAN, VINO Y CAFES.</t>
  </si>
  <si>
    <t>Benefici</t>
  </si>
  <si>
    <t>MENU COCTEL.</t>
  </si>
  <si>
    <t>FRIOS</t>
  </si>
  <si>
    <t>FRIOS.</t>
  </si>
  <si>
    <t>Montadito de pan de cristal con jamon iberico</t>
  </si>
  <si>
    <t>Surtido de quesos variados y embutidos variados</t>
  </si>
  <si>
    <t>Croqueta de jamon iberico.</t>
  </si>
  <si>
    <t>Gazpacho de frambuesa y bitter kas.</t>
  </si>
  <si>
    <t>Crema de ajo blanco de coco, con sardina y uva.</t>
  </si>
  <si>
    <t>Salmorejo de sandia.</t>
  </si>
  <si>
    <t>Canape de salmon ahumado y queso a las finas hierbas.</t>
  </si>
  <si>
    <t>Ostra del delta en escabeche de citricos y gel de fruta de la pasion.</t>
  </si>
  <si>
    <t>CALIENTE.</t>
  </si>
  <si>
    <t>Lagrimita de pollo con salsa de mostaza, miel y curri.</t>
  </si>
  <si>
    <t>Mini burguer con queso y salsa chedar.</t>
  </si>
  <si>
    <t>brocheta de pollo con salsa tandori.</t>
  </si>
  <si>
    <t>Degustacion de arroz negro.</t>
  </si>
  <si>
    <t>Degustacion de fideua de marisco.</t>
  </si>
  <si>
    <t>Caña de cerveza</t>
  </si>
  <si>
    <t>tarta de celebracion. Lemon pie, massini o sacher.</t>
  </si>
  <si>
    <t>TOTAL GRAMOS.</t>
  </si>
  <si>
    <t>MENU BBQ  COMUNION.</t>
  </si>
  <si>
    <t>A COMPARTIR</t>
  </si>
  <si>
    <t xml:space="preserve">CALÇOTADA EN MESA ENSALADA. LECHUGA UNID. </t>
  </si>
  <si>
    <t>PAN, AGUA, SELECCION DE VINOS Y CAFES</t>
  </si>
  <si>
    <t>Propuesta de coctel Comunion Alejandro Fernandez. 16-05-25</t>
  </si>
  <si>
    <t>APERITIVOS FRIOS.</t>
  </si>
  <si>
    <t>MENU INFANTIL ALMUERZO.</t>
  </si>
  <si>
    <t>1.- Montadito de pan de cristal y jamon iberico.</t>
  </si>
  <si>
    <t>2.- Surtido de quesos internaciones y nacionales con embutidos ibericos.</t>
  </si>
  <si>
    <t xml:space="preserve">Jamon iberico a compartir y pan con tomate. </t>
  </si>
  <si>
    <t>3.- Gazpacho de Frambuesa y bitter kas.</t>
  </si>
  <si>
    <t>Macarrones napolitana con parmesano rallado.</t>
  </si>
  <si>
    <t>4.- Ajo blanco de coco, con sardina ahumada y uva.</t>
  </si>
  <si>
    <t>hamburguesa con patatas fritas.</t>
  </si>
  <si>
    <t>5.- Salmorejo de sandia con polvo de jamon.</t>
  </si>
  <si>
    <t>Tarta de celebracion.</t>
  </si>
  <si>
    <t>6.- Canape de salmon ahumado y queso a las finas hierbas.</t>
  </si>
  <si>
    <t>refrescos.</t>
  </si>
  <si>
    <t>7.- Ostra del delta en escabeche de citricos con alga wakame.</t>
  </si>
  <si>
    <t>pan, agua mineral.</t>
  </si>
  <si>
    <t>APERITIVOS CALIENTES.</t>
  </si>
  <si>
    <t>MENU INFANTIL CENA A COMPARTIR</t>
  </si>
  <si>
    <t>8.- Croqueta de jamon iberico.</t>
  </si>
  <si>
    <t>9.- Lagrimita de pollo con salsa de mostaza, miel y curry.</t>
  </si>
  <si>
    <t>10.- Miniburguer de ternera con queso emmental y salsa cheddar</t>
  </si>
  <si>
    <t>Pizza napolitana.</t>
  </si>
  <si>
    <t>11.- Brocheta de pollo con salsa tandori.</t>
  </si>
  <si>
    <t>Nuguets con patatas fritas.</t>
  </si>
  <si>
    <t>12.- Degustacion de arroz negro.</t>
  </si>
  <si>
    <t>helado de vainilla y chocolate.a</t>
  </si>
  <si>
    <t>13.- Degustacion de Fideua de marisco.</t>
  </si>
  <si>
    <t>POSTRE TARTA DE CELEBRACION A SELECCIONAR.</t>
  </si>
  <si>
    <t>BEBIDAS Y VARIOS.</t>
  </si>
  <si>
    <t>Refresco, cerveza y vermouth.</t>
  </si>
  <si>
    <t>Clos pinell blanco D.O terra alta.</t>
  </si>
  <si>
    <t>Clos pinell tinto. D.O Terra alta.</t>
  </si>
  <si>
    <t xml:space="preserve">Copa de cava. </t>
  </si>
  <si>
    <t>Pan, agua mineral y cafes.</t>
  </si>
  <si>
    <t>Propuesta de menu bbq cena. comunion alejandro.</t>
  </si>
  <si>
    <t>Todo a compartir.</t>
  </si>
  <si>
    <t xml:space="preserve">1.- Cesta de pan tostado, tomaco y ajo. </t>
  </si>
  <si>
    <t>2.- Ensalada verde a compartir.</t>
  </si>
  <si>
    <t>3.- Patatas Bravas.</t>
  </si>
  <si>
    <t>4.- Pimientos del padron.</t>
  </si>
  <si>
    <t>5.- Muslo de pollo a la brasa.</t>
  </si>
  <si>
    <t>6.- Botifarra a la brasa con alioli</t>
  </si>
  <si>
    <t>7.- Parrillada de verduras a la brasa con salsa romesco.</t>
  </si>
  <si>
    <t>PESCADO.</t>
  </si>
  <si>
    <t>CARNE</t>
  </si>
  <si>
    <t>Tournedo de solomillo Rossini.</t>
  </si>
  <si>
    <t>MENU FIN DE AÑO 2025</t>
  </si>
  <si>
    <t>MENU EMBARAZADA RON</t>
  </si>
  <si>
    <t>MENU CUMPLEAÑOS PETER 4 PAX CENA 29-12</t>
  </si>
  <si>
    <t>APERITIVO</t>
  </si>
  <si>
    <t>Jamon de bellota y pan de cristal</t>
  </si>
  <si>
    <t>brocheta de verduras.</t>
  </si>
  <si>
    <t>blinis de salmon marinado, raifort y caviar de salmon</t>
  </si>
  <si>
    <t xml:space="preserve">mejillones. </t>
  </si>
  <si>
    <t>BITTERBALLEN A LA ESPAÑOLA. croquetas</t>
  </si>
  <si>
    <t>Manzana con anguila ahumada y foie de pato.</t>
  </si>
  <si>
    <t>tartar de tomate con aguacate.</t>
  </si>
  <si>
    <t>ENTRANTE.</t>
  </si>
  <si>
    <t>Crema de marisco, vieras con bombon de coco y curri.</t>
  </si>
  <si>
    <t>crema de calabaza.</t>
  </si>
  <si>
    <t>Lenguado a la menier de yondu con hinojo y avellanas</t>
  </si>
  <si>
    <t>bacalao con muselina de alioli y trinchat de col y patata</t>
  </si>
  <si>
    <t>Tournedo de solomillo Rossini con chalotas glaseadas.</t>
  </si>
  <si>
    <t>pluma de cerdo iberico de bellota.. con chalotas glaseadas.</t>
  </si>
  <si>
    <t>Chuleta de cerdo madurado, con parrillada de verduras</t>
  </si>
  <si>
    <t>lingote de ferrero rocher, espuma de baeylis, y frambuesa liofilizada</t>
  </si>
  <si>
    <t>HELADO</t>
  </si>
  <si>
    <t>COTILLON</t>
  </si>
  <si>
    <t>BODEGA</t>
  </si>
  <si>
    <t>UVAS COTILLON.</t>
  </si>
  <si>
    <t>TURRONES Y NEULAS.</t>
  </si>
  <si>
    <t xml:space="preserve">mas cabellut tinto. </t>
  </si>
  <si>
    <t>L'oratge blanco.</t>
  </si>
  <si>
    <t>MENU BBQ MAS BORONAT</t>
  </si>
  <si>
    <t>TABLA DE QUESOS Y EMBUTIDOS.</t>
  </si>
  <si>
    <t>Patatas bravas.</t>
  </si>
  <si>
    <t>salsa brava.</t>
  </si>
  <si>
    <t>Coste kg:</t>
  </si>
  <si>
    <t>Parrilada de verduras.</t>
  </si>
  <si>
    <t>EN MESA O COCTEL</t>
  </si>
  <si>
    <t>Fecha</t>
  </si>
  <si>
    <t>Artículo</t>
  </si>
  <si>
    <t>Proveedor</t>
  </si>
  <si>
    <t>Precio</t>
  </si>
  <si>
    <t>Cantidad</t>
  </si>
  <si>
    <t>Importe</t>
  </si>
  <si>
    <t>Nº Factura</t>
  </si>
  <si>
    <t>Observaciones</t>
  </si>
  <si>
    <t>2026-07-05 12:05:56</t>
  </si>
  <si>
    <t>Precio anterior: 0.23</t>
  </si>
  <si>
    <t>2026-07-05 12:59:23</t>
  </si>
  <si>
    <t>prueba gpt</t>
  </si>
  <si>
    <t>la</t>
  </si>
  <si>
    <t>Precio anterior: 0.222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</si>
</sst>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#,##0.00\ &quot;€&quot;"/>
    <numFmt numFmtId="165" formatCode="d/m/yyyy"/>
    <numFmt numFmtId="166" formatCode="_-* #,##0.00&quot; €&quot;_-;\-* #,##0.00&quot; €&quot;_-;_-* \-??&quot; €&quot;_-;_-@"/>
    <numFmt numFmtId="167" formatCode="0.000"/>
    <numFmt numFmtId="168" formatCode="_-* #,##0.00&quot; €&quot;_-;\-* #,##0.00&quot; €&quot;_-;_-* \-?&quot; €&quot;_-;_-@"/>
    <numFmt numFmtId="169" formatCode="#,##0.00\ [$€-1]"/>
    <numFmt numFmtId="170" formatCode="0.0%"/>
    <numFmt numFmtId="171" formatCode="_-* #,##0.00\ _€_-;\-* #,##0.00\ _€_-;_-* &quot;-&quot;??\ _€_-;_-@"/>
    <numFmt numFmtId="172" formatCode="0.00\ %"/>
    <numFmt numFmtId="173" formatCode="#,##0.00&quot; €&quot;"/>
    <numFmt numFmtId="174" formatCode="_-* #,##0.00\ [$€-C0A]_-;\-* #,##0.00\ [$€-C0A]_-;_-* &quot;-&quot;??\ [$€-C0A]_-;_-@"/>
  </numFmts>
  <fonts count="53" x14ac:knownFonts="1">
    <font>
      <sz val="10"/>
      <color rgb="FF000000"/>
      <name val="Arial"/>
      <scheme val="minor"/>
    </font>
    <font>
      <sz val="11"/>
      <color theme="1"/>
      <name val="Calibri"/>
    </font>
    <font>
      <sz val="8"/>
      <color rgb="FF000000"/>
      <name val="Tahoma"/>
    </font>
    <font>
      <sz val="10"/>
      <color theme="1"/>
      <name val="Calibri"/>
    </font>
    <font>
      <sz val="14"/>
      <color theme="1"/>
      <name val="Calibri"/>
    </font>
    <font>
      <b/>
      <u/>
      <sz val="8"/>
      <color rgb="FF000000"/>
      <name val="Tahoma"/>
    </font>
    <font>
      <b/>
      <u/>
      <sz val="8"/>
      <color rgb="FF000000"/>
      <name val="Tahoma"/>
    </font>
    <font>
      <sz val="10"/>
      <color theme="1"/>
      <name val="Lucida Sans"/>
    </font>
    <font>
      <b/>
      <u/>
      <sz val="8"/>
      <color rgb="FF000000"/>
      <name val="Tahoma"/>
    </font>
    <font>
      <b/>
      <u/>
      <sz val="8"/>
      <color rgb="FF000000"/>
      <name val="Tahoma"/>
    </font>
    <font>
      <sz val="10"/>
      <color theme="1"/>
      <name val="Arial"/>
    </font>
    <font>
      <b/>
      <u/>
      <sz val="8"/>
      <color rgb="FF000000"/>
      <name val="Tahoma"/>
    </font>
    <font>
      <sz val="10"/>
      <color rgb="FF000000"/>
      <name val="Lucida Sans"/>
    </font>
    <font>
      <sz val="12"/>
      <color theme="1"/>
      <name val="Calibri"/>
    </font>
    <font>
      <sz val="10"/>
      <color theme="1"/>
      <name val="Arial"/>
      <scheme val="minor"/>
    </font>
    <font>
      <sz val="10"/>
      <color theme="1"/>
      <name val="Tahoma"/>
    </font>
    <font>
      <b/>
      <u/>
      <sz val="8"/>
      <color rgb="FF000000"/>
      <name val="Tahoma"/>
    </font>
    <font>
      <sz val="11"/>
      <color rgb="FF000000"/>
      <name val="Calibri"/>
    </font>
    <font>
      <b/>
      <u/>
      <sz val="12"/>
      <color rgb="FF000000"/>
      <name val="Calibri"/>
    </font>
    <font>
      <b/>
      <sz val="11"/>
      <color rgb="FF000000"/>
      <name val="Calibri"/>
    </font>
    <font>
      <b/>
      <i/>
      <sz val="12"/>
      <color rgb="FF000000"/>
      <name val="Calibri"/>
    </font>
    <font>
      <sz val="10"/>
      <color rgb="FF000000"/>
      <name val="Calibri"/>
    </font>
    <font>
      <b/>
      <i/>
      <sz val="10"/>
      <color rgb="FF000000"/>
      <name val="Calibri"/>
    </font>
    <font>
      <b/>
      <sz val="8"/>
      <color theme="1"/>
      <name val="Calibri"/>
    </font>
    <font>
      <sz val="8"/>
      <color theme="1"/>
      <name val="Verdana"/>
    </font>
    <font>
      <b/>
      <u/>
      <sz val="10"/>
      <color theme="1"/>
      <name val="Calibri"/>
    </font>
    <font>
      <b/>
      <u/>
      <sz val="11"/>
      <color rgb="FFAC2A02"/>
      <name val="Calibri"/>
    </font>
    <font>
      <b/>
      <u/>
      <sz val="11"/>
      <color rgb="FF000000"/>
      <name val="Calibri"/>
    </font>
    <font>
      <b/>
      <u/>
      <sz val="10"/>
      <color rgb="FF000000"/>
      <name val="Calibri"/>
    </font>
    <font>
      <b/>
      <u/>
      <sz val="8"/>
      <color theme="1"/>
      <name val="Verdana"/>
    </font>
    <font>
      <b/>
      <u/>
      <sz val="8"/>
      <color theme="1"/>
      <name val="Verdana"/>
    </font>
    <font>
      <b/>
      <u/>
      <sz val="11"/>
      <color rgb="FFAC2A02"/>
      <name val="Calibri"/>
    </font>
    <font>
      <b/>
      <u/>
      <sz val="11"/>
      <color rgb="FFAC2A02"/>
      <name val="Calibri"/>
    </font>
    <font>
      <b/>
      <u/>
      <sz val="11"/>
      <color rgb="FFAC2A02"/>
      <name val="Calibri"/>
    </font>
    <font>
      <b/>
      <u/>
      <sz val="11"/>
      <color rgb="FFAC2A02"/>
      <name val="Calibri"/>
    </font>
    <font>
      <b/>
      <sz val="11"/>
      <color rgb="FFFF6500"/>
      <name val="Calibri"/>
    </font>
    <font>
      <b/>
      <u/>
      <sz val="11"/>
      <color rgb="FFAC2A02"/>
      <name val="Calibri"/>
    </font>
    <font>
      <b/>
      <u/>
      <sz val="11"/>
      <color rgb="FFAC2A02"/>
      <name val="Calibri"/>
    </font>
    <font>
      <b/>
      <u/>
      <sz val="12"/>
      <color rgb="FF000000"/>
      <name val="Calibri"/>
    </font>
    <font>
      <sz val="10"/>
      <color theme="1"/>
      <name val="Calibri"/>
    </font>
    <font>
      <sz val="10"/>
      <color theme="1"/>
      <name val="Arial"/>
    </font>
    <font>
      <b/>
      <i/>
      <sz val="12"/>
      <color theme="1"/>
      <name val="Calibri"/>
    </font>
    <font>
      <b/>
      <i/>
      <sz val="10"/>
      <color theme="1"/>
      <name val="Calibri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1"/>
      <color rgb="FFAC2A02"/>
      <name val="Calibri"/>
    </font>
    <font>
      <b/>
      <u/>
      <sz val="10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</fonts>
  <fills count="2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7F7F7F"/>
        <bgColor rgb="FF7F7F7F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44546A"/>
        <bgColor rgb="FF44546A"/>
      </patternFill>
    </fill>
    <fill>
      <patternFill patternType="solid">
        <fgColor theme="5"/>
        <bgColor theme="5"/>
      </patternFill>
    </fill>
    <fill>
      <patternFill patternType="solid">
        <fgColor rgb="FFFF6500"/>
        <bgColor rgb="FFFF650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theme="6"/>
        <bgColor theme="6"/>
      </patternFill>
    </fill>
    <fill>
      <patternFill patternType="solid">
        <fgColor rgb="FF81D41A"/>
        <bgColor rgb="FF81D41A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</fills>
  <borders count="9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96969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 style="thin">
        <color rgb="FF000000"/>
      </left>
      <right/>
      <top/>
      <bottom/>
      <diagonal/>
    </border>
    <border>
      <left/>
      <right/>
      <top style="thick">
        <color rgb="FF666699"/>
      </top>
      <bottom style="thick">
        <color rgb="FF666699"/>
      </bottom>
      <diagonal/>
    </border>
    <border>
      <left/>
      <right/>
      <top style="thick">
        <color rgb="FF666699"/>
      </top>
      <bottom/>
      <diagonal/>
    </border>
    <border>
      <left/>
      <right/>
      <top style="thick">
        <color rgb="FF666699"/>
      </top>
      <bottom style="thin">
        <color rgb="FF000000"/>
      </bottom>
      <diagonal/>
    </border>
    <border>
      <left/>
      <right style="medium">
        <color rgb="FF000000"/>
      </right>
      <top style="thick">
        <color rgb="FF666699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666699"/>
      </top>
      <bottom style="medium">
        <color rgb="FF666699"/>
      </bottom>
      <diagonal/>
    </border>
    <border>
      <left/>
      <right/>
      <top/>
      <bottom style="medium">
        <color rgb="FF66669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666699"/>
      </top>
      <bottom style="medium">
        <color rgb="FF666699"/>
      </bottom>
      <diagonal/>
    </border>
    <border>
      <left style="thin">
        <color rgb="FF666699"/>
      </left>
      <right style="thin">
        <color rgb="FF666699"/>
      </right>
      <top style="medium">
        <color rgb="FF666699"/>
      </top>
      <bottom style="medium">
        <color rgb="FF666699"/>
      </bottom>
      <diagonal/>
    </border>
    <border>
      <left/>
      <right/>
      <top style="thin">
        <color rgb="FF666699"/>
      </top>
      <bottom style="thin">
        <color rgb="FF666699"/>
      </bottom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666699"/>
      </bottom>
      <diagonal/>
    </border>
    <border>
      <left/>
      <right/>
      <top style="thin">
        <color rgb="FF666699"/>
      </top>
      <bottom style="thin">
        <color rgb="FF66669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666699"/>
      </top>
      <bottom/>
      <diagonal/>
    </border>
    <border>
      <left style="thin">
        <color rgb="FF666699"/>
      </left>
      <right style="thin">
        <color rgb="FF666699"/>
      </right>
      <top style="thin">
        <color rgb="FF666699"/>
      </top>
      <bottom/>
      <diagonal/>
    </border>
    <border>
      <left/>
      <right/>
      <top style="thin">
        <color rgb="FF666699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rgb="FF000000"/>
      </left>
      <right style="thin">
        <color rgb="FFFF0000"/>
      </right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666699"/>
      </left>
      <right style="thin">
        <color rgb="FF666699"/>
      </right>
      <top/>
      <bottom style="thin">
        <color rgb="FF666699"/>
      </bottom>
      <diagonal/>
    </border>
    <border>
      <left/>
      <right/>
      <top/>
      <bottom style="thin">
        <color rgb="FF666699"/>
      </bottom>
      <diagonal/>
    </border>
    <border>
      <left style="thin">
        <color rgb="FFFF0000"/>
      </left>
      <right style="thin">
        <color rgb="FF00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FF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666699"/>
      </top>
      <bottom/>
      <diagonal/>
    </border>
    <border>
      <left style="thin">
        <color rgb="FF000000"/>
      </left>
      <right style="medium">
        <color rgb="FF000000"/>
      </right>
      <top style="thick">
        <color rgb="FF666699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666699"/>
      </bottom>
      <diagonal/>
    </border>
  </borders>
  <cellStyleXfs count="1">
    <xf numFmtId="0" fontId="0" fillId="0" borderId="84"/>
  </cellStyleXfs>
  <cellXfs count="340"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Border="1"/>
    <xf numFmtId="2" fontId="1" fillId="3" borderId="1" xfId="0" applyNumberFormat="1" applyFont="1" applyFill="1" applyBorder="1"/>
    <xf numFmtId="0" fontId="3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2" fillId="0" borderId="5" xfId="0" applyFont="1" applyBorder="1"/>
    <xf numFmtId="2" fontId="1" fillId="3" borderId="6" xfId="0" applyNumberFormat="1" applyFont="1" applyFill="1" applyBorder="1"/>
    <xf numFmtId="0" fontId="3" fillId="0" borderId="2" xfId="0" applyFont="1" applyBorder="1" applyAlignment="1">
      <alignment horizontal="center"/>
    </xf>
    <xf numFmtId="0" fontId="2" fillId="0" borderId="2" xfId="0" applyFont="1" applyBorder="1"/>
    <xf numFmtId="0" fontId="4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3" xfId="0" applyFont="1" applyBorder="1"/>
    <xf numFmtId="0" fontId="5" fillId="4" borderId="4" xfId="0" applyFont="1" applyFill="1" applyBorder="1" applyAlignment="1">
      <alignment horizontal="center"/>
    </xf>
    <xf numFmtId="0" fontId="2" fillId="0" borderId="7" xfId="0" applyFont="1" applyBorder="1" applyAlignment="1">
      <alignment wrapText="1"/>
    </xf>
    <xf numFmtId="2" fontId="1" fillId="3" borderId="2" xfId="0" applyNumberFormat="1" applyFont="1" applyFill="1" applyBorder="1"/>
    <xf numFmtId="0" fontId="1" fillId="0" borderId="8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2" fontId="1" fillId="3" borderId="8" xfId="0" applyNumberFormat="1" applyFont="1" applyFill="1" applyBorder="1"/>
    <xf numFmtId="0" fontId="1" fillId="0" borderId="11" xfId="0" applyFont="1" applyBorder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2" fontId="1" fillId="3" borderId="14" xfId="0" applyNumberFormat="1" applyFont="1" applyFill="1" applyBorder="1"/>
    <xf numFmtId="0" fontId="1" fillId="2" borderId="8" xfId="0" applyFont="1" applyFill="1" applyBorder="1" applyAlignment="1">
      <alignment horizontal="center"/>
    </xf>
    <xf numFmtId="164" fontId="1" fillId="3" borderId="14" xfId="0" applyNumberFormat="1" applyFont="1" applyFill="1" applyBorder="1"/>
    <xf numFmtId="0" fontId="3" fillId="5" borderId="15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center"/>
    </xf>
    <xf numFmtId="2" fontId="1" fillId="3" borderId="17" xfId="0" applyNumberFormat="1" applyFont="1" applyFill="1" applyBorder="1"/>
    <xf numFmtId="0" fontId="2" fillId="0" borderId="18" xfId="0" applyFont="1" applyBorder="1"/>
    <xf numFmtId="0" fontId="3" fillId="5" borderId="4" xfId="0" applyFont="1" applyFill="1" applyBorder="1" applyAlignment="1">
      <alignment horizontal="left"/>
    </xf>
    <xf numFmtId="0" fontId="2" fillId="0" borderId="19" xfId="0" applyFont="1" applyBorder="1"/>
    <xf numFmtId="0" fontId="3" fillId="0" borderId="4" xfId="0" applyFont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2" fillId="0" borderId="22" xfId="0" applyFont="1" applyBorder="1"/>
    <xf numFmtId="0" fontId="1" fillId="4" borderId="8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left"/>
    </xf>
    <xf numFmtId="0" fontId="2" fillId="0" borderId="24" xfId="0" applyFont="1" applyBorder="1"/>
    <xf numFmtId="2" fontId="1" fillId="3" borderId="25" xfId="0" applyNumberFormat="1" applyFont="1" applyFill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2" fillId="8" borderId="8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4" borderId="11" xfId="0" applyFont="1" applyFill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7" fillId="0" borderId="5" xfId="0" applyFont="1" applyBorder="1" applyAlignment="1">
      <alignment vertical="top"/>
    </xf>
    <xf numFmtId="2" fontId="1" fillId="3" borderId="27" xfId="0" applyNumberFormat="1" applyFont="1" applyFill="1" applyBorder="1"/>
    <xf numFmtId="0" fontId="1" fillId="3" borderId="8" xfId="0" applyFont="1" applyFill="1" applyBorder="1" applyAlignment="1">
      <alignment horizontal="center"/>
    </xf>
    <xf numFmtId="0" fontId="1" fillId="0" borderId="12" xfId="0" applyFont="1" applyBorder="1" applyAlignment="1">
      <alignment horizontal="left"/>
    </xf>
    <xf numFmtId="2" fontId="1" fillId="3" borderId="28" xfId="0" applyNumberFormat="1" applyFont="1" applyFill="1" applyBorder="1"/>
    <xf numFmtId="0" fontId="2" fillId="8" borderId="16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10" fillId="0" borderId="12" xfId="0" applyFont="1" applyBorder="1"/>
    <xf numFmtId="0" fontId="11" fillId="4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11" borderId="20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3" fillId="0" borderId="12" xfId="0" applyFont="1" applyBorder="1" applyAlignment="1">
      <alignment horizontal="left"/>
    </xf>
    <xf numFmtId="2" fontId="7" fillId="0" borderId="13" xfId="0" applyNumberFormat="1" applyFont="1" applyBorder="1" applyAlignment="1">
      <alignment horizontal="center" vertical="top"/>
    </xf>
    <xf numFmtId="2" fontId="12" fillId="3" borderId="28" xfId="0" applyNumberFormat="1" applyFont="1" applyFill="1" applyBorder="1" applyAlignment="1">
      <alignment horizontal="right" vertical="top" shrinkToFit="1"/>
    </xf>
    <xf numFmtId="165" fontId="2" fillId="0" borderId="8" xfId="0" applyNumberFormat="1" applyFont="1" applyBorder="1"/>
    <xf numFmtId="0" fontId="7" fillId="0" borderId="1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13" fillId="5" borderId="0" xfId="0" applyFont="1" applyFill="1" applyBorder="1" applyAlignment="1">
      <alignment horizontal="left"/>
    </xf>
    <xf numFmtId="0" fontId="2" fillId="12" borderId="4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0" fillId="0" borderId="0" xfId="0" applyFont="1" applyBorder="1" applyAlignment="1">
      <alignment wrapText="1"/>
    </xf>
    <xf numFmtId="0" fontId="2" fillId="1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8" borderId="8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left"/>
    </xf>
    <xf numFmtId="0" fontId="1" fillId="0" borderId="29" xfId="0" applyFont="1" applyBorder="1" applyAlignment="1">
      <alignment horizontal="left"/>
    </xf>
    <xf numFmtId="2" fontId="1" fillId="3" borderId="30" xfId="0" applyNumberFormat="1" applyFont="1" applyFill="1" applyBorder="1"/>
    <xf numFmtId="0" fontId="2" fillId="8" borderId="4" xfId="0" applyFont="1" applyFill="1" applyBorder="1"/>
    <xf numFmtId="0" fontId="1" fillId="9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2" fillId="0" borderId="26" xfId="0" applyFont="1" applyBorder="1"/>
    <xf numFmtId="0" fontId="2" fillId="0" borderId="31" xfId="0" applyFont="1" applyBorder="1"/>
    <xf numFmtId="165" fontId="2" fillId="0" borderId="2" xfId="0" applyNumberFormat="1" applyFont="1" applyBorder="1"/>
    <xf numFmtId="0" fontId="1" fillId="4" borderId="2" xfId="0" applyFont="1" applyFill="1" applyBorder="1" applyAlignment="1">
      <alignment horizontal="center"/>
    </xf>
    <xf numFmtId="165" fontId="2" fillId="0" borderId="0" xfId="0" applyNumberFormat="1" applyFont="1" applyBorder="1"/>
    <xf numFmtId="0" fontId="2" fillId="0" borderId="32" xfId="0" applyFont="1" applyBorder="1"/>
    <xf numFmtId="0" fontId="2" fillId="0" borderId="7" xfId="0" applyFont="1" applyBorder="1"/>
    <xf numFmtId="0" fontId="2" fillId="0" borderId="11" xfId="0" applyFont="1" applyBorder="1"/>
    <xf numFmtId="2" fontId="7" fillId="0" borderId="18" xfId="0" applyNumberFormat="1" applyFont="1" applyBorder="1" applyAlignment="1">
      <alignment horizontal="center" vertical="top"/>
    </xf>
    <xf numFmtId="2" fontId="12" fillId="3" borderId="4" xfId="0" applyNumberFormat="1" applyFont="1" applyFill="1" applyBorder="1" applyAlignment="1">
      <alignment horizontal="right" vertical="top" shrinkToFit="1"/>
    </xf>
    <xf numFmtId="0" fontId="1" fillId="0" borderId="33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0" fillId="0" borderId="13" xfId="0" applyFont="1" applyBorder="1"/>
    <xf numFmtId="0" fontId="7" fillId="0" borderId="3" xfId="0" applyFont="1" applyBorder="1" applyAlignment="1">
      <alignment vertical="top"/>
    </xf>
    <xf numFmtId="0" fontId="10" fillId="0" borderId="13" xfId="0" applyFont="1" applyBorder="1" applyAlignment="1">
      <alignment wrapText="1"/>
    </xf>
    <xf numFmtId="2" fontId="7" fillId="0" borderId="7" xfId="0" applyNumberFormat="1" applyFont="1" applyBorder="1" applyAlignment="1">
      <alignment horizontal="center" vertical="top"/>
    </xf>
    <xf numFmtId="0" fontId="1" fillId="0" borderId="13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7" fillId="0" borderId="0" xfId="0" applyFont="1" applyBorder="1" applyAlignment="1">
      <alignment vertical="top"/>
    </xf>
    <xf numFmtId="0" fontId="1" fillId="0" borderId="4" xfId="0" applyFont="1" applyBorder="1" applyAlignment="1">
      <alignment horizontal="center"/>
    </xf>
    <xf numFmtId="0" fontId="2" fillId="0" borderId="34" xfId="0" applyFont="1" applyBorder="1"/>
    <xf numFmtId="0" fontId="3" fillId="0" borderId="34" xfId="0" applyFont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2" fontId="1" fillId="3" borderId="4" xfId="0" applyNumberFormat="1" applyFont="1" applyFill="1" applyBorder="1"/>
    <xf numFmtId="0" fontId="2" fillId="16" borderId="3" xfId="0" applyFont="1" applyFill="1" applyBorder="1"/>
    <xf numFmtId="0" fontId="1" fillId="3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0" borderId="1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2" fillId="0" borderId="29" xfId="0" applyFont="1" applyBorder="1"/>
    <xf numFmtId="2" fontId="1" fillId="3" borderId="35" xfId="0" applyNumberFormat="1" applyFont="1" applyFill="1" applyBorder="1"/>
    <xf numFmtId="2" fontId="1" fillId="3" borderId="5" xfId="0" applyNumberFormat="1" applyFont="1" applyFill="1" applyBorder="1"/>
    <xf numFmtId="0" fontId="1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2" fillId="0" borderId="36" xfId="0" applyFont="1" applyBorder="1"/>
    <xf numFmtId="2" fontId="1" fillId="3" borderId="16" xfId="0" applyNumberFormat="1" applyFont="1" applyFill="1" applyBorder="1"/>
    <xf numFmtId="0" fontId="2" fillId="16" borderId="11" xfId="0" applyFont="1" applyFill="1" applyBorder="1"/>
    <xf numFmtId="0" fontId="3" fillId="0" borderId="4" xfId="0" applyFont="1" applyBorder="1" applyAlignment="1">
      <alignment horizontal="left"/>
    </xf>
    <xf numFmtId="0" fontId="2" fillId="0" borderId="4" xfId="0" applyFont="1" applyBorder="1"/>
    <xf numFmtId="2" fontId="1" fillId="3" borderId="4" xfId="0" applyNumberFormat="1" applyFont="1" applyFill="1" applyBorder="1" applyAlignment="1">
      <alignment horizontal="right"/>
    </xf>
    <xf numFmtId="0" fontId="15" fillId="5" borderId="4" xfId="0" applyFont="1" applyFill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2" fillId="13" borderId="4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2" fillId="0" borderId="38" xfId="0" applyFont="1" applyBorder="1"/>
    <xf numFmtId="0" fontId="2" fillId="10" borderId="4" xfId="0" applyFont="1" applyFill="1" applyBorder="1" applyAlignment="1">
      <alignment horizontal="center"/>
    </xf>
    <xf numFmtId="0" fontId="7" fillId="0" borderId="11" xfId="0" applyFont="1" applyBorder="1" applyAlignment="1">
      <alignment vertical="top"/>
    </xf>
    <xf numFmtId="166" fontId="3" fillId="0" borderId="18" xfId="0" applyNumberFormat="1" applyFont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16" borderId="4" xfId="0" applyFont="1" applyFill="1" applyBorder="1"/>
    <xf numFmtId="0" fontId="16" fillId="6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1" fillId="7" borderId="8" xfId="0" applyFont="1" applyFill="1" applyBorder="1" applyAlignment="1">
      <alignment horizontal="center"/>
    </xf>
    <xf numFmtId="0" fontId="2" fillId="0" borderId="8" xfId="0" applyFont="1" applyBorder="1"/>
    <xf numFmtId="0" fontId="2" fillId="0" borderId="33" xfId="0" applyFont="1" applyBorder="1"/>
    <xf numFmtId="0" fontId="2" fillId="0" borderId="33" xfId="0" applyFont="1" applyBorder="1" applyAlignment="1">
      <alignment horizontal="center"/>
    </xf>
    <xf numFmtId="165" fontId="2" fillId="0" borderId="33" xfId="0" applyNumberFormat="1" applyFont="1" applyBorder="1"/>
    <xf numFmtId="165" fontId="2" fillId="0" borderId="4" xfId="0" applyNumberFormat="1" applyFont="1" applyBorder="1"/>
    <xf numFmtId="0" fontId="2" fillId="0" borderId="37" xfId="0" applyFont="1" applyBorder="1"/>
    <xf numFmtId="0" fontId="2" fillId="0" borderId="37" xfId="0" applyFont="1" applyBorder="1" applyAlignment="1">
      <alignment horizontal="center"/>
    </xf>
    <xf numFmtId="0" fontId="7" fillId="0" borderId="13" xfId="0" applyFont="1" applyBorder="1" applyAlignment="1">
      <alignment vertical="top"/>
    </xf>
    <xf numFmtId="0" fontId="1" fillId="0" borderId="9" xfId="0" applyFont="1" applyBorder="1" applyAlignment="1">
      <alignment horizontal="center"/>
    </xf>
    <xf numFmtId="0" fontId="1" fillId="0" borderId="39" xfId="0" applyFont="1" applyBorder="1" applyAlignment="1">
      <alignment horizontal="left"/>
    </xf>
    <xf numFmtId="0" fontId="7" fillId="0" borderId="4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2" fillId="0" borderId="8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66" fontId="3" fillId="0" borderId="0" xfId="0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right"/>
    </xf>
    <xf numFmtId="0" fontId="10" fillId="18" borderId="1" xfId="0" applyFont="1" applyFill="1" applyBorder="1"/>
    <xf numFmtId="0" fontId="3" fillId="18" borderId="1" xfId="0" applyFont="1" applyFill="1" applyBorder="1"/>
    <xf numFmtId="0" fontId="3" fillId="19" borderId="1" xfId="0" applyFont="1" applyFill="1" applyBorder="1"/>
    <xf numFmtId="0" fontId="17" fillId="19" borderId="1" xfId="0" applyFont="1" applyFill="1" applyBorder="1"/>
    <xf numFmtId="0" fontId="20" fillId="20" borderId="40" xfId="0" applyFont="1" applyFill="1" applyBorder="1"/>
    <xf numFmtId="0" fontId="17" fillId="0" borderId="0" xfId="0" applyFont="1" applyBorder="1"/>
    <xf numFmtId="0" fontId="20" fillId="0" borderId="41" xfId="0" applyFont="1" applyBorder="1"/>
    <xf numFmtId="0" fontId="20" fillId="20" borderId="45" xfId="0" applyFont="1" applyFill="1" applyBorder="1"/>
    <xf numFmtId="166" fontId="21" fillId="19" borderId="46" xfId="0" applyNumberFormat="1" applyFont="1" applyFill="1" applyBorder="1" applyAlignment="1">
      <alignment horizontal="center"/>
    </xf>
    <xf numFmtId="0" fontId="17" fillId="19" borderId="47" xfId="0" applyFont="1" applyFill="1" applyBorder="1"/>
    <xf numFmtId="0" fontId="21" fillId="19" borderId="1" xfId="0" applyFont="1" applyFill="1" applyBorder="1"/>
    <xf numFmtId="0" fontId="22" fillId="20" borderId="48" xfId="0" applyFont="1" applyFill="1" applyBorder="1" applyAlignment="1">
      <alignment horizontal="center"/>
    </xf>
    <xf numFmtId="0" fontId="21" fillId="5" borderId="53" xfId="0" applyFont="1" applyFill="1" applyBorder="1"/>
    <xf numFmtId="0" fontId="21" fillId="5" borderId="50" xfId="0" applyFont="1" applyFill="1" applyBorder="1"/>
    <xf numFmtId="0" fontId="21" fillId="19" borderId="50" xfId="0" applyFont="1" applyFill="1" applyBorder="1"/>
    <xf numFmtId="0" fontId="17" fillId="19" borderId="54" xfId="0" applyFont="1" applyFill="1" applyBorder="1"/>
    <xf numFmtId="0" fontId="21" fillId="5" borderId="55" xfId="0" applyFont="1" applyFill="1" applyBorder="1"/>
    <xf numFmtId="166" fontId="24" fillId="0" borderId="57" xfId="0" applyNumberFormat="1" applyFont="1" applyBorder="1" applyAlignment="1">
      <alignment horizontal="center"/>
    </xf>
    <xf numFmtId="0" fontId="3" fillId="19" borderId="54" xfId="0" applyFont="1" applyFill="1" applyBorder="1"/>
    <xf numFmtId="0" fontId="17" fillId="19" borderId="4" xfId="0" applyFont="1" applyFill="1" applyBorder="1"/>
    <xf numFmtId="0" fontId="21" fillId="19" borderId="4" xfId="0" applyFont="1" applyFill="1" applyBorder="1"/>
    <xf numFmtId="166" fontId="24" fillId="0" borderId="4" xfId="0" applyNumberFormat="1" applyFont="1" applyBorder="1" applyAlignment="1">
      <alignment horizontal="center"/>
    </xf>
    <xf numFmtId="0" fontId="3" fillId="19" borderId="4" xfId="0" applyFont="1" applyFill="1" applyBorder="1"/>
    <xf numFmtId="0" fontId="21" fillId="5" borderId="4" xfId="0" applyFont="1" applyFill="1" applyBorder="1"/>
    <xf numFmtId="0" fontId="17" fillId="19" borderId="58" xfId="0" applyFont="1" applyFill="1" applyBorder="1"/>
    <xf numFmtId="0" fontId="21" fillId="19" borderId="58" xfId="0" applyFont="1" applyFill="1" applyBorder="1"/>
    <xf numFmtId="0" fontId="3" fillId="19" borderId="58" xfId="0" applyFont="1" applyFill="1" applyBorder="1"/>
    <xf numFmtId="0" fontId="21" fillId="5" borderId="50" xfId="0" applyFont="1" applyFill="1" applyBorder="1" applyAlignment="1">
      <alignment wrapText="1"/>
    </xf>
    <xf numFmtId="0" fontId="21" fillId="19" borderId="50" xfId="0" applyFont="1" applyFill="1" applyBorder="1" applyAlignment="1">
      <alignment wrapText="1"/>
    </xf>
    <xf numFmtId="0" fontId="25" fillId="19" borderId="1" xfId="0" applyFont="1" applyFill="1" applyBorder="1"/>
    <xf numFmtId="1" fontId="21" fillId="19" borderId="46" xfId="0" applyNumberFormat="1" applyFont="1" applyFill="1" applyBorder="1"/>
    <xf numFmtId="0" fontId="3" fillId="4" borderId="47" xfId="0" applyFont="1" applyFill="1" applyBorder="1" applyAlignment="1">
      <alignment wrapText="1"/>
    </xf>
    <xf numFmtId="49" fontId="26" fillId="21" borderId="64" xfId="0" applyNumberFormat="1" applyFont="1" applyFill="1" applyBorder="1"/>
    <xf numFmtId="49" fontId="27" fillId="21" borderId="64" xfId="0" applyNumberFormat="1" applyFont="1" applyFill="1" applyBorder="1" applyAlignment="1">
      <alignment horizontal="center"/>
    </xf>
    <xf numFmtId="0" fontId="28" fillId="4" borderId="65" xfId="0" applyFont="1" applyFill="1" applyBorder="1"/>
    <xf numFmtId="0" fontId="23" fillId="4" borderId="48" xfId="0" applyFont="1" applyFill="1" applyBorder="1" applyAlignment="1">
      <alignment horizontal="center"/>
    </xf>
    <xf numFmtId="49" fontId="31" fillId="21" borderId="68" xfId="0" applyNumberFormat="1" applyFont="1" applyFill="1" applyBorder="1"/>
    <xf numFmtId="49" fontId="32" fillId="21" borderId="69" xfId="0" applyNumberFormat="1" applyFont="1" applyFill="1" applyBorder="1"/>
    <xf numFmtId="49" fontId="33" fillId="21" borderId="70" xfId="0" applyNumberFormat="1" applyFont="1" applyFill="1" applyBorder="1"/>
    <xf numFmtId="49" fontId="34" fillId="21" borderId="71" xfId="0" applyNumberFormat="1" applyFont="1" applyFill="1" applyBorder="1"/>
    <xf numFmtId="0" fontId="21" fillId="5" borderId="65" xfId="0" applyFont="1" applyFill="1" applyBorder="1"/>
    <xf numFmtId="49" fontId="19" fillId="19" borderId="64" xfId="0" applyNumberFormat="1" applyFont="1" applyFill="1" applyBorder="1" applyAlignment="1">
      <alignment horizontal="right"/>
    </xf>
    <xf numFmtId="0" fontId="10" fillId="0" borderId="0" xfId="0" applyFont="1" applyBorder="1"/>
    <xf numFmtId="2" fontId="21" fillId="19" borderId="46" xfId="0" applyNumberFormat="1" applyFont="1" applyFill="1" applyBorder="1"/>
    <xf numFmtId="49" fontId="36" fillId="21" borderId="64" xfId="0" applyNumberFormat="1" applyFont="1" applyFill="1" applyBorder="1"/>
    <xf numFmtId="49" fontId="37" fillId="21" borderId="68" xfId="0" applyNumberFormat="1" applyFont="1" applyFill="1" applyBorder="1"/>
    <xf numFmtId="166" fontId="24" fillId="0" borderId="73" xfId="0" applyNumberFormat="1" applyFont="1" applyBorder="1" applyAlignment="1">
      <alignment horizontal="center"/>
    </xf>
    <xf numFmtId="166" fontId="24" fillId="0" borderId="52" xfId="0" applyNumberFormat="1" applyFont="1" applyBorder="1" applyAlignment="1">
      <alignment horizontal="center"/>
    </xf>
    <xf numFmtId="0" fontId="40" fillId="0" borderId="0" xfId="0" applyFont="1" applyBorder="1"/>
    <xf numFmtId="0" fontId="41" fillId="20" borderId="40" xfId="0" applyFont="1" applyFill="1" applyBorder="1"/>
    <xf numFmtId="0" fontId="41" fillId="0" borderId="41" xfId="0" applyFont="1" applyBorder="1"/>
    <xf numFmtId="0" fontId="41" fillId="20" borderId="45" xfId="0" applyFont="1" applyFill="1" applyBorder="1"/>
    <xf numFmtId="2" fontId="39" fillId="19" borderId="46" xfId="0" applyNumberFormat="1" applyFont="1" applyFill="1" applyBorder="1" applyAlignment="1">
      <alignment horizontal="right"/>
    </xf>
    <xf numFmtId="166" fontId="39" fillId="19" borderId="46" xfId="0" applyNumberFormat="1" applyFont="1" applyFill="1" applyBorder="1" applyAlignment="1">
      <alignment horizontal="center"/>
    </xf>
    <xf numFmtId="0" fontId="42" fillId="20" borderId="48" xfId="0" applyFont="1" applyFill="1" applyBorder="1" applyAlignment="1">
      <alignment horizontal="center"/>
    </xf>
    <xf numFmtId="0" fontId="23" fillId="20" borderId="49" xfId="0" applyFont="1" applyFill="1" applyBorder="1" applyAlignment="1">
      <alignment horizontal="center"/>
    </xf>
    <xf numFmtId="0" fontId="23" fillId="20" borderId="48" xfId="0" applyFont="1" applyFill="1" applyBorder="1" applyAlignment="1">
      <alignment horizontal="center"/>
    </xf>
    <xf numFmtId="0" fontId="39" fillId="19" borderId="50" xfId="0" applyFont="1" applyFill="1" applyBorder="1"/>
    <xf numFmtId="0" fontId="40" fillId="18" borderId="1" xfId="0" applyFont="1" applyFill="1" applyBorder="1"/>
    <xf numFmtId="0" fontId="39" fillId="19" borderId="53" xfId="0" applyFont="1" applyFill="1" applyBorder="1"/>
    <xf numFmtId="166" fontId="24" fillId="0" borderId="0" xfId="0" applyNumberFormat="1" applyFont="1" applyBorder="1" applyAlignment="1">
      <alignment horizontal="center"/>
    </xf>
    <xf numFmtId="0" fontId="14" fillId="0" borderId="0" xfId="0" applyFont="1" applyBorder="1"/>
    <xf numFmtId="0" fontId="21" fillId="5" borderId="1" xfId="0" applyFont="1" applyFill="1" applyBorder="1"/>
    <xf numFmtId="2" fontId="10" fillId="0" borderId="0" xfId="0" applyNumberFormat="1" applyFont="1" applyBorder="1" applyAlignment="1">
      <alignment horizontal="left"/>
    </xf>
    <xf numFmtId="0" fontId="43" fillId="0" borderId="5" xfId="0" applyFont="1" applyBorder="1"/>
    <xf numFmtId="0" fontId="10" fillId="0" borderId="4" xfId="0" applyFont="1" applyBorder="1" applyAlignment="1">
      <alignment wrapText="1"/>
    </xf>
    <xf numFmtId="0" fontId="10" fillId="0" borderId="4" xfId="0" applyFont="1" applyBorder="1"/>
    <xf numFmtId="2" fontId="17" fillId="0" borderId="75" xfId="0" applyNumberFormat="1" applyFont="1" applyBorder="1" applyAlignment="1">
      <alignment horizontal="center"/>
    </xf>
    <xf numFmtId="2" fontId="17" fillId="0" borderId="75" xfId="0" applyNumberFormat="1" applyFont="1" applyBorder="1" applyAlignment="1">
      <alignment horizontal="center" wrapText="1"/>
    </xf>
    <xf numFmtId="0" fontId="10" fillId="0" borderId="5" xfId="0" applyFont="1" applyBorder="1"/>
    <xf numFmtId="0" fontId="10" fillId="0" borderId="29" xfId="0" applyFont="1" applyBorder="1" applyAlignment="1">
      <alignment wrapText="1"/>
    </xf>
    <xf numFmtId="0" fontId="44" fillId="0" borderId="78" xfId="0" applyFont="1" applyBorder="1"/>
    <xf numFmtId="0" fontId="21" fillId="5" borderId="65" xfId="0" applyFont="1" applyFill="1" applyBorder="1" applyAlignment="1">
      <alignment wrapText="1"/>
    </xf>
    <xf numFmtId="49" fontId="45" fillId="21" borderId="79" xfId="0" applyNumberFormat="1" applyFont="1" applyFill="1" applyBorder="1"/>
    <xf numFmtId="0" fontId="10" fillId="17" borderId="21" xfId="0" applyFont="1" applyFill="1" applyBorder="1"/>
    <xf numFmtId="0" fontId="10" fillId="17" borderId="4" xfId="0" applyFont="1" applyFill="1" applyBorder="1"/>
    <xf numFmtId="0" fontId="46" fillId="4" borderId="21" xfId="0" applyFont="1" applyFill="1" applyBorder="1"/>
    <xf numFmtId="0" fontId="47" fillId="4" borderId="80" xfId="0" applyFont="1" applyFill="1" applyBorder="1"/>
    <xf numFmtId="0" fontId="48" fillId="23" borderId="35" xfId="0" applyFont="1" applyFill="1" applyBorder="1"/>
    <xf numFmtId="0" fontId="10" fillId="0" borderId="26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29" xfId="0" applyFont="1" applyBorder="1"/>
    <xf numFmtId="0" fontId="10" fillId="24" borderId="47" xfId="0" applyFont="1" applyFill="1" applyBorder="1" applyAlignment="1">
      <alignment wrapText="1"/>
    </xf>
    <xf numFmtId="0" fontId="49" fillId="4" borderId="16" xfId="0" applyFont="1" applyFill="1" applyBorder="1"/>
    <xf numFmtId="0" fontId="10" fillId="0" borderId="78" xfId="0" applyFont="1" applyBorder="1"/>
    <xf numFmtId="0" fontId="10" fillId="24" borderId="16" xfId="0" applyFont="1" applyFill="1" applyBorder="1"/>
    <xf numFmtId="0" fontId="10" fillId="5" borderId="16" xfId="0" applyFont="1" applyFill="1" applyBorder="1"/>
    <xf numFmtId="0" fontId="10" fillId="17" borderId="81" xfId="0" applyFont="1" applyFill="1" applyBorder="1"/>
    <xf numFmtId="0" fontId="50" fillId="4" borderId="4" xfId="0" applyFont="1" applyFill="1" applyBorder="1"/>
    <xf numFmtId="0" fontId="10" fillId="0" borderId="24" xfId="0" applyFont="1" applyBorder="1" applyAlignment="1">
      <alignment wrapText="1"/>
    </xf>
    <xf numFmtId="0" fontId="10" fillId="3" borderId="1" xfId="0" applyFont="1" applyFill="1" applyBorder="1" applyAlignment="1">
      <alignment horizontal="left"/>
    </xf>
    <xf numFmtId="0" fontId="10" fillId="4" borderId="1" xfId="0" applyFont="1" applyFill="1" applyBorder="1"/>
    <xf numFmtId="0" fontId="52" fillId="4" borderId="1" xfId="0" applyFont="1" applyFill="1" applyBorder="1"/>
    <xf numFmtId="0" fontId="21" fillId="5" borderId="84" xfId="0" applyFont="1" applyFill="1"/>
    <xf numFmtId="0" fontId="21" fillId="19" borderId="1" xfId="0" applyFont="1" applyFill="1" applyBorder="1" applyAlignment="1">
      <alignment horizontal="left"/>
    </xf>
    <xf numFmtId="0" fontId="40" fillId="19" borderId="1" xfId="0" applyFont="1" applyFill="1" applyBorder="1"/>
    <xf numFmtId="167" fontId="21" fillId="19" borderId="46" xfId="0" applyNumberFormat="1" applyFont="1" applyFill="1" applyBorder="1"/>
    <xf numFmtId="168" fontId="3" fillId="4" borderId="16" xfId="0" applyNumberFormat="1" applyFont="1" applyFill="1" applyBorder="1"/>
    <xf numFmtId="167" fontId="24" fillId="0" borderId="51" xfId="0" applyNumberFormat="1" applyFont="1" applyBorder="1"/>
    <xf numFmtId="169" fontId="24" fillId="0" borderId="51" xfId="0" applyNumberFormat="1" applyFont="1" applyBorder="1"/>
    <xf numFmtId="170" fontId="24" fillId="0" borderId="51" xfId="0" applyNumberFormat="1" applyFont="1" applyBorder="1" applyAlignment="1">
      <alignment horizontal="center"/>
    </xf>
    <xf numFmtId="167" fontId="24" fillId="0" borderId="51" xfId="0" applyNumberFormat="1" applyFont="1" applyBorder="1" applyAlignment="1">
      <alignment horizontal="right"/>
    </xf>
    <xf numFmtId="167" fontId="24" fillId="0" borderId="0" xfId="0" applyNumberFormat="1" applyFont="1" applyBorder="1"/>
    <xf numFmtId="169" fontId="24" fillId="0" borderId="0" xfId="0" applyNumberFormat="1" applyFont="1" applyBorder="1"/>
    <xf numFmtId="170" fontId="24" fillId="0" borderId="0" xfId="0" applyNumberFormat="1" applyFont="1" applyBorder="1" applyAlignment="1">
      <alignment horizontal="center"/>
    </xf>
    <xf numFmtId="167" fontId="24" fillId="0" borderId="0" xfId="0" applyNumberFormat="1" applyFont="1" applyBorder="1" applyAlignment="1">
      <alignment horizontal="right"/>
    </xf>
    <xf numFmtId="171" fontId="17" fillId="19" borderId="47" xfId="0" applyNumberFormat="1" applyFont="1" applyFill="1" applyBorder="1"/>
    <xf numFmtId="167" fontId="24" fillId="0" borderId="56" xfId="0" applyNumberFormat="1" applyFont="1" applyBorder="1"/>
    <xf numFmtId="169" fontId="24" fillId="0" borderId="56" xfId="0" applyNumberFormat="1" applyFont="1" applyBorder="1"/>
    <xf numFmtId="170" fontId="24" fillId="0" borderId="56" xfId="0" applyNumberFormat="1" applyFont="1" applyBorder="1" applyAlignment="1">
      <alignment horizontal="center"/>
    </xf>
    <xf numFmtId="167" fontId="24" fillId="0" borderId="56" xfId="0" applyNumberFormat="1" applyFont="1" applyBorder="1" applyAlignment="1">
      <alignment horizontal="right"/>
    </xf>
    <xf numFmtId="167" fontId="24" fillId="0" borderId="4" xfId="0" applyNumberFormat="1" applyFont="1" applyBorder="1"/>
    <xf numFmtId="169" fontId="24" fillId="0" borderId="4" xfId="0" applyNumberFormat="1" applyFont="1" applyBorder="1"/>
    <xf numFmtId="170" fontId="24" fillId="0" borderId="4" xfId="0" applyNumberFormat="1" applyFont="1" applyBorder="1" applyAlignment="1">
      <alignment horizontal="center"/>
    </xf>
    <xf numFmtId="167" fontId="24" fillId="0" borderId="4" xfId="0" applyNumberFormat="1" applyFont="1" applyBorder="1" applyAlignment="1">
      <alignment horizontal="right"/>
    </xf>
    <xf numFmtId="167" fontId="29" fillId="4" borderId="51" xfId="0" applyNumberFormat="1" applyFont="1" applyFill="1" applyBorder="1" applyAlignment="1">
      <alignment horizontal="center" vertical="center"/>
    </xf>
    <xf numFmtId="169" fontId="30" fillId="4" borderId="51" xfId="0" applyNumberFormat="1" applyFont="1" applyFill="1" applyBorder="1" applyAlignment="1">
      <alignment horizontal="center"/>
    </xf>
    <xf numFmtId="172" fontId="17" fillId="0" borderId="66" xfId="0" applyNumberFormat="1" applyFont="1" applyBorder="1" applyAlignment="1">
      <alignment horizontal="center"/>
    </xf>
    <xf numFmtId="172" fontId="17" fillId="0" borderId="67" xfId="0" applyNumberFormat="1" applyFont="1" applyBorder="1" applyAlignment="1">
      <alignment horizontal="center"/>
    </xf>
    <xf numFmtId="173" fontId="10" fillId="0" borderId="64" xfId="0" applyNumberFormat="1" applyFont="1" applyBorder="1" applyAlignment="1">
      <alignment horizontal="center"/>
    </xf>
    <xf numFmtId="173" fontId="17" fillId="19" borderId="64" xfId="0" applyNumberFormat="1" applyFont="1" applyFill="1" applyBorder="1" applyAlignment="1">
      <alignment horizontal="center"/>
    </xf>
    <xf numFmtId="173" fontId="17" fillId="0" borderId="64" xfId="0" applyNumberFormat="1" applyFont="1" applyBorder="1" applyAlignment="1">
      <alignment horizontal="center"/>
    </xf>
    <xf numFmtId="173" fontId="19" fillId="0" borderId="64" xfId="0" applyNumberFormat="1" applyFont="1" applyBorder="1" applyAlignment="1">
      <alignment horizontal="center"/>
    </xf>
    <xf numFmtId="173" fontId="19" fillId="19" borderId="64" xfId="0" applyNumberFormat="1" applyFont="1" applyFill="1" applyBorder="1" applyAlignment="1">
      <alignment horizontal="center"/>
    </xf>
    <xf numFmtId="173" fontId="35" fillId="22" borderId="64" xfId="0" applyNumberFormat="1" applyFont="1" applyFill="1" applyBorder="1" applyAlignment="1">
      <alignment horizontal="center"/>
    </xf>
    <xf numFmtId="172" fontId="35" fillId="22" borderId="66" xfId="0" applyNumberFormat="1" applyFont="1" applyFill="1" applyBorder="1" applyAlignment="1">
      <alignment horizontal="center"/>
    </xf>
    <xf numFmtId="167" fontId="24" fillId="0" borderId="72" xfId="0" applyNumberFormat="1" applyFont="1" applyBorder="1"/>
    <xf numFmtId="169" fontId="24" fillId="0" borderId="72" xfId="0" applyNumberFormat="1" applyFont="1" applyBorder="1"/>
    <xf numFmtId="172" fontId="17" fillId="0" borderId="74" xfId="0" applyNumberFormat="1" applyFont="1" applyBorder="1" applyAlignment="1">
      <alignment horizontal="center"/>
    </xf>
    <xf numFmtId="173" fontId="14" fillId="0" borderId="0" xfId="0" applyNumberFormat="1" applyFont="1" applyBorder="1"/>
    <xf numFmtId="169" fontId="24" fillId="0" borderId="51" xfId="0" applyNumberFormat="1" applyFont="1" applyBorder="1" applyAlignment="1">
      <alignment horizontal="right"/>
    </xf>
    <xf numFmtId="168" fontId="39" fillId="4" borderId="16" xfId="0" applyNumberFormat="1" applyFont="1" applyFill="1" applyBorder="1" applyAlignment="1">
      <alignment horizontal="right"/>
    </xf>
    <xf numFmtId="171" fontId="40" fillId="19" borderId="47" xfId="0" applyNumberFormat="1" applyFont="1" applyFill="1" applyBorder="1"/>
    <xf numFmtId="169" fontId="24" fillId="0" borderId="0" xfId="0" applyNumberFormat="1" applyFont="1" applyBorder="1" applyAlignment="1">
      <alignment horizontal="right"/>
    </xf>
    <xf numFmtId="172" fontId="17" fillId="0" borderId="75" xfId="0" applyNumberFormat="1" applyFont="1" applyBorder="1" applyAlignment="1">
      <alignment horizontal="center"/>
    </xf>
    <xf numFmtId="172" fontId="17" fillId="0" borderId="76" xfId="0" applyNumberFormat="1" applyFont="1" applyBorder="1" applyAlignment="1">
      <alignment horizontal="center"/>
    </xf>
    <xf numFmtId="172" fontId="17" fillId="0" borderId="77" xfId="0" applyNumberFormat="1" applyFont="1" applyBorder="1" applyAlignment="1">
      <alignment horizontal="center"/>
    </xf>
    <xf numFmtId="172" fontId="17" fillId="0" borderId="83" xfId="0" applyNumberFormat="1" applyFont="1" applyBorder="1" applyAlignment="1">
      <alignment horizontal="center"/>
    </xf>
    <xf numFmtId="0" fontId="0" fillId="0" borderId="0" xfId="0" applyBorder="1"/>
    <xf numFmtId="0" fontId="18" fillId="20" borderId="85" xfId="0" applyFont="1" applyFill="1" applyBorder="1" applyAlignment="1">
      <alignment horizontal="center"/>
    </xf>
    <xf numFmtId="0" fontId="0" fillId="0" borderId="0" xfId="0" applyBorder="1"/>
    <xf numFmtId="0" fontId="0" fillId="0" borderId="85" xfId="0" applyBorder="1"/>
    <xf numFmtId="0" fontId="21" fillId="19" borderId="84" xfId="0" applyFont="1" applyFill="1" applyAlignment="1">
      <alignment horizontal="left"/>
    </xf>
    <xf numFmtId="174" fontId="17" fillId="19" borderId="47" xfId="0" applyNumberFormat="1" applyFont="1" applyFill="1" applyBorder="1" applyAlignment="1">
      <alignment horizontal="center"/>
    </xf>
    <xf numFmtId="0" fontId="0" fillId="0" borderId="44" xfId="0" applyBorder="1"/>
    <xf numFmtId="0" fontId="17" fillId="4" borderId="86" xfId="0" applyFont="1" applyFill="1" applyBorder="1" applyAlignment="1">
      <alignment horizontal="left"/>
    </xf>
    <xf numFmtId="0" fontId="0" fillId="0" borderId="86" xfId="0" applyBorder="1"/>
    <xf numFmtId="0" fontId="17" fillId="5" borderId="87" xfId="0" applyFont="1" applyFill="1" applyBorder="1" applyAlignment="1">
      <alignment horizontal="left"/>
    </xf>
    <xf numFmtId="0" fontId="0" fillId="0" borderId="42" xfId="0" applyBorder="1"/>
    <xf numFmtId="0" fontId="0" fillId="0" borderId="43" xfId="0" applyBorder="1"/>
    <xf numFmtId="0" fontId="20" fillId="20" borderId="88" xfId="0" applyFont="1" applyFill="1" applyBorder="1" applyAlignment="1">
      <alignment horizontal="center"/>
    </xf>
    <xf numFmtId="0" fontId="0" fillId="0" borderId="89" xfId="0" applyBorder="1"/>
    <xf numFmtId="0" fontId="19" fillId="20" borderId="85" xfId="0" applyFont="1" applyFill="1" applyBorder="1" applyAlignment="1">
      <alignment horizontal="center"/>
    </xf>
    <xf numFmtId="0" fontId="20" fillId="20" borderId="90" xfId="0" applyFont="1" applyFill="1" applyBorder="1" applyAlignment="1">
      <alignment horizontal="center"/>
    </xf>
    <xf numFmtId="0" fontId="0" fillId="0" borderId="90" xfId="0" applyBorder="1"/>
    <xf numFmtId="0" fontId="17" fillId="9" borderId="88" xfId="0" applyFont="1" applyFill="1" applyBorder="1" applyAlignment="1">
      <alignment horizontal="center"/>
    </xf>
    <xf numFmtId="0" fontId="17" fillId="19" borderId="47" xfId="0" applyFont="1" applyFill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0" fillId="3" borderId="47" xfId="0" applyFont="1" applyFill="1" applyBorder="1" applyAlignment="1">
      <alignment horizontal="left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174" fontId="17" fillId="19" borderId="47" xfId="0" applyNumberFormat="1" applyFont="1" applyFill="1" applyBorder="1" applyAlignment="1">
      <alignment horizontal="left" vertical="center"/>
    </xf>
    <xf numFmtId="0" fontId="40" fillId="19" borderId="84" xfId="0" applyFont="1" applyFill="1"/>
    <xf numFmtId="0" fontId="41" fillId="20" borderId="88" xfId="0" applyFont="1" applyFill="1" applyBorder="1" applyAlignment="1">
      <alignment horizontal="center"/>
    </xf>
    <xf numFmtId="0" fontId="41" fillId="20" borderId="90" xfId="0" applyFont="1" applyFill="1" applyBorder="1" applyAlignment="1">
      <alignment horizontal="center"/>
    </xf>
    <xf numFmtId="0" fontId="1" fillId="4" borderId="86" xfId="0" applyFont="1" applyFill="1" applyBorder="1"/>
    <xf numFmtId="0" fontId="1" fillId="9" borderId="88" xfId="0" applyFont="1" applyFill="1" applyBorder="1" applyAlignment="1">
      <alignment horizontal="center"/>
    </xf>
    <xf numFmtId="0" fontId="38" fillId="20" borderId="85" xfId="0" applyFont="1" applyFill="1" applyBorder="1" applyAlignment="1">
      <alignment horizontal="center"/>
    </xf>
    <xf numFmtId="0" fontId="1" fillId="19" borderId="87" xfId="0" applyFont="1" applyFill="1" applyBorder="1"/>
    <xf numFmtId="174" fontId="40" fillId="19" borderId="47" xfId="0" applyNumberFormat="1" applyFont="1" applyFill="1" applyBorder="1"/>
    <xf numFmtId="0" fontId="10" fillId="3" borderId="88" xfId="0" applyFont="1" applyFill="1" applyBorder="1" applyAlignment="1">
      <alignment horizontal="left"/>
    </xf>
    <xf numFmtId="0" fontId="51" fillId="3" borderId="47" xfId="0" applyFont="1" applyFill="1" applyBorder="1" applyAlignment="1">
      <alignment horizontal="center"/>
    </xf>
    <xf numFmtId="0" fontId="0" fillId="0" borderId="82" xfId="0" applyBorder="1"/>
  </cellXfs>
  <cellStyles count="1">
    <cellStyle name="Normal" xfId="0" builtinId="0"/>
  </cellStyles>
  <dxfs count="4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AppData/Local/Microsoft/Windows/INetCache/Content.Outlook/53D3OVUJ/XXX-V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o de Artículos"/>
      <sheetName val="INDICE POR COLORES."/>
      <sheetName val="ELABORADOS."/>
      <sheetName val="COCTELES VERTICE"/>
      <sheetName val="BANQUETES SOCIALES"/>
      <sheetName val="COMUNIONES 2024"/>
      <sheetName val="BODAS 2024"/>
      <sheetName val="SOLOMILLO IBERICO."/>
      <sheetName val="LUBINA A LA MENIER."/>
      <sheetName val="MENU ARROZ ECLIPSE"/>
      <sheetName val="FIN DE SEMANA ECLIPSE"/>
      <sheetName val="MENU DEL DIA ECLIPSE"/>
      <sheetName val="FICHA TECNICA CARTA."/>
      <sheetName val="PASADENA CRISTAL"/>
      <sheetName val="MYOGA CHIRINGUITO"/>
      <sheetName val="GASTROBAR"/>
      <sheetName val="ITALIANO CASABLANCA."/>
      <sheetName val="PRECIOS PRODUCTOS."/>
      <sheetName val="ECLIPSE ESCANDALLOS."/>
      <sheetName val="Salmorejo de mango."/>
      <sheetName val="Salmorejo de mango._10"/>
      <sheetName val="Salmorejo de mango._9"/>
      <sheetName val="Salmorejo de mango._8"/>
      <sheetName val="Salmorejo de mango._7"/>
      <sheetName val="Salmorejo de mango._6"/>
      <sheetName val="Salmorejo de mango._5"/>
      <sheetName val="Salmorejo de mango._4"/>
      <sheetName val="Salmorejo de mango._3"/>
      <sheetName val="Salmorejo de mango._2"/>
      <sheetName val="MENU SEMANA, ARROZ Y FINDE SEMA"/>
      <sheetName val="MENU SAN VALENTIN 2023"/>
      <sheetName val="ESCANDALLO MENU DIA"/>
      <sheetName val="Resumen"/>
      <sheetName val="BODAS"/>
      <sheetName val="FICHA VACIA"/>
      <sheetName val="ficha modelo"/>
      <sheetName val="BUFFET MEDIA PENSION."/>
      <sheetName val="MENU FIN DE AÑO 2022"/>
      <sheetName val="ELABORADOS-C-P 2023"/>
      <sheetName val="Tapa lingote de foie."/>
      <sheetName val="Crema Almendra"/>
      <sheetName val="Ensaladilla de jamon"/>
      <sheetName val="Panipuri de ortiguilla."/>
      <sheetName val="lingote foie plato"/>
      <sheetName val="fideua costilla iberica"/>
      <sheetName val="fideua boletus y foie fresco."/>
      <sheetName val="Arroz marisco"/>
      <sheetName val="fideua de mariscos."/>
      <sheetName val="Arroz seco bogavante"/>
      <sheetName val="fideua bogavante."/>
      <sheetName val="Arroz cola toro"/>
      <sheetName val="fideua melosa de cola toro."/>
      <sheetName val="Arroz de rape y esparragos."/>
      <sheetName val="fideua melosa rape, esparrago."/>
      <sheetName val="Arroz meloso carrillada"/>
      <sheetName val="fideua melosa carrillada."/>
      <sheetName val="Arroz caldoso del pescador"/>
      <sheetName val="fideua caldoso del pescador."/>
      <sheetName val="Arroz cald gambon"/>
      <sheetName val="fideua de gambones"/>
      <sheetName val="Arroz caldoso de bogavante"/>
      <sheetName val="Arroz cald carabineros"/>
      <sheetName val="fideua caldosa con gambones."/>
      <sheetName val="fideua caldosa con bogavante."/>
      <sheetName val="beef aishare"/>
      <sheetName val="Beef Burguer"/>
      <sheetName val="Burguer Blonde"/>
      <sheetName val="Burguer Angus"/>
      <sheetName val="Bacalao confitado"/>
      <sheetName val="lomo de corvina"/>
      <sheetName val="Dorada a la espalda"/>
      <sheetName val="Entrecot atun"/>
      <sheetName val="Arroz cubana"/>
      <sheetName val="Infantil 1"/>
      <sheetName val="Infantil2"/>
      <sheetName val="Infantil 3"/>
      <sheetName val="Filete pollo"/>
      <sheetName val="Presa confitada"/>
      <sheetName val="Patatas fritas naturales"/>
      <sheetName val="papas arrugas con mojo picon."/>
      <sheetName val="patatas confitadas."/>
      <sheetName val="S.mojo picon."/>
      <sheetName val="Ajo blanco de almendra"/>
      <sheetName val="Torrija"/>
      <sheetName val="Tarta Chocogalletas"/>
      <sheetName val="Lingote cheese"/>
      <sheetName val="FICHA TECNICA AMERICANA CATERIN"/>
      <sheetName val="TORTILLA FRANCESA."/>
      <sheetName val="C.P CALDO AMERICANA."/>
      <sheetName val="FICHA TECNICA C.VERDURAS."/>
      <sheetName val="C-P CALDO VERDURAS."/>
      <sheetName val="Paté picantón"/>
      <sheetName val="Bombón de foie"/>
      <sheetName val="C.P. CALDO AMERICANA"/>
      <sheetName val="C.P. CALDO VERDUR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tables/table1.xml><?xml version="1.0" encoding="utf-8"?>
<table xmlns="http://schemas.openxmlformats.org/spreadsheetml/2006/main" id="1" name="Tabla1" displayName="Tabla1" ref="A1:H23" totalsRowShown="0">
  <autoFilter ref="A1:H23"/>
  <tableColumns count="8">
    <tableColumn id="1" name="Fecha"/>
    <tableColumn id="2" name="Artículo"/>
    <tableColumn id="3" name="Proveedor"/>
    <tableColumn id="4" name="Precio"/>
    <tableColumn id="5" name="Cantidad"/>
    <tableColumn id="6" name="Importe"/>
    <tableColumn id="7" name="Nº Factura"/>
    <tableColumn id="8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7"/>
  <sheetViews>
    <sheetView showGridLines="0" tabSelected="1" workbookViewId="0">
      <pane ySplit="1" topLeftCell="A349" activePane="bottomLeft" state="frozen"/>
      <selection pane="bottomLeft" activeCell="F356" sqref="F356"/>
    </sheetView>
  </sheetViews>
  <sheetFormatPr baseColWidth="10" defaultColWidth="12.6640625" defaultRowHeight="15" customHeight="1" x14ac:dyDescent="0.25"/>
  <cols>
    <col min="1" max="1" width="24.6640625" style="302" customWidth="1"/>
    <col min="2" max="2" width="105.21875" style="302" customWidth="1"/>
    <col min="3" max="3" width="16.21875" style="302" customWidth="1"/>
    <col min="4" max="4" width="20.88671875" style="302" customWidth="1"/>
    <col min="5" max="5" width="11" style="302" customWidth="1"/>
    <col min="6" max="6" width="20.109375" style="302" customWidth="1"/>
    <col min="7" max="7" width="12.77734375" style="302" customWidth="1"/>
    <col min="8" max="8" width="9.109375" style="302" customWidth="1"/>
    <col min="9" max="9" width="12.21875" style="302" customWidth="1"/>
    <col min="10" max="26" width="11.6640625" style="302" customWidth="1"/>
  </cols>
  <sheetData>
    <row r="1" spans="1:26" ht="12.75" customHeight="1" x14ac:dyDescent="0.3">
      <c r="A1" s="1" t="s">
        <v>0</v>
      </c>
      <c r="B1" s="75" t="s">
        <v>1</v>
      </c>
      <c r="C1" s="2"/>
      <c r="D1" s="2"/>
      <c r="E1" s="2"/>
      <c r="F1" s="3"/>
      <c r="G1" s="2"/>
      <c r="H1" s="2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1" t="s">
        <v>0</v>
      </c>
      <c r="B2" s="75" t="s">
        <v>1</v>
      </c>
      <c r="C2" s="2"/>
      <c r="D2" s="2"/>
      <c r="E2" s="2"/>
      <c r="F2" s="3"/>
      <c r="G2" s="2"/>
      <c r="H2" s="2"/>
      <c r="I2" s="2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75" t="s">
        <v>2</v>
      </c>
      <c r="C3" s="2"/>
      <c r="D3" s="2"/>
      <c r="E3" s="2"/>
      <c r="F3" s="3"/>
      <c r="G3" s="2"/>
      <c r="H3" s="2"/>
      <c r="I3" s="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1" t="s">
        <v>0</v>
      </c>
      <c r="B4" s="75" t="s">
        <v>3</v>
      </c>
      <c r="C4" s="2"/>
      <c r="D4" s="2"/>
      <c r="E4" s="2"/>
      <c r="F4" s="3"/>
      <c r="G4" s="2"/>
      <c r="H4" s="2"/>
      <c r="I4" s="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1" t="s">
        <v>0</v>
      </c>
      <c r="B5" s="75" t="s">
        <v>4</v>
      </c>
      <c r="C5" s="2"/>
      <c r="D5" s="2"/>
      <c r="E5" s="2"/>
      <c r="F5" s="3"/>
      <c r="G5" s="2"/>
      <c r="H5" s="2"/>
      <c r="I5" s="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1"/>
      <c r="B6" s="75" t="s">
        <v>5</v>
      </c>
      <c r="C6" s="2"/>
      <c r="D6" s="2"/>
      <c r="E6" s="2"/>
      <c r="F6" s="3">
        <v>0.63</v>
      </c>
      <c r="G6" s="2"/>
      <c r="H6" s="2"/>
      <c r="I6" s="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5">
      <c r="A7" s="5" t="s">
        <v>6</v>
      </c>
      <c r="B7" s="6" t="s">
        <v>7</v>
      </c>
      <c r="C7" s="129"/>
      <c r="D7" s="7"/>
      <c r="E7" s="129"/>
      <c r="F7" s="8">
        <v>1</v>
      </c>
      <c r="G7" s="9"/>
      <c r="H7" s="10"/>
      <c r="I7" s="10"/>
      <c r="J7" s="9"/>
      <c r="K7" s="4"/>
      <c r="L7" s="4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" customHeight="1" x14ac:dyDescent="0.35">
      <c r="A8" s="12" t="s">
        <v>0</v>
      </c>
      <c r="B8" s="13" t="s">
        <v>8</v>
      </c>
      <c r="C8" s="14"/>
      <c r="D8" s="15" t="s">
        <v>9</v>
      </c>
      <c r="E8" s="16"/>
      <c r="F8" s="17">
        <v>0.56000000000000005</v>
      </c>
      <c r="G8" s="10"/>
      <c r="H8" s="10"/>
      <c r="I8" s="10"/>
      <c r="J8" s="9"/>
      <c r="K8" s="4"/>
      <c r="L8" s="4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3.5" customHeight="1" x14ac:dyDescent="0.3">
      <c r="A9" s="12" t="s">
        <v>0</v>
      </c>
      <c r="B9" s="18" t="s">
        <v>10</v>
      </c>
      <c r="C9" s="19"/>
      <c r="D9" s="15" t="s">
        <v>9</v>
      </c>
      <c r="E9" s="20"/>
      <c r="F9" s="21">
        <v>1.5</v>
      </c>
      <c r="G9" s="147"/>
      <c r="H9" s="147"/>
      <c r="I9" s="14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5" customHeight="1" x14ac:dyDescent="0.3">
      <c r="A10" s="12" t="s">
        <v>0</v>
      </c>
      <c r="B10" s="22" t="s">
        <v>11</v>
      </c>
      <c r="C10" s="23"/>
      <c r="D10" s="15" t="s">
        <v>9</v>
      </c>
      <c r="E10" s="24"/>
      <c r="F10" s="25">
        <v>1.51</v>
      </c>
      <c r="G10" s="147"/>
      <c r="H10" s="147"/>
      <c r="I10" s="14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5" customHeight="1" x14ac:dyDescent="0.3">
      <c r="A11" s="12" t="s">
        <v>0</v>
      </c>
      <c r="B11" s="22" t="s">
        <v>12</v>
      </c>
      <c r="C11" s="23"/>
      <c r="D11" s="15" t="s">
        <v>9</v>
      </c>
      <c r="E11" s="24"/>
      <c r="F11" s="25">
        <v>0.57999999999999996</v>
      </c>
      <c r="G11" s="147"/>
      <c r="H11" s="147"/>
      <c r="I11" s="14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3">
      <c r="A12" s="12" t="s">
        <v>0</v>
      </c>
      <c r="B12" s="22" t="s">
        <v>13</v>
      </c>
      <c r="C12" s="23"/>
      <c r="D12" s="15" t="s">
        <v>9</v>
      </c>
      <c r="E12" s="24"/>
      <c r="F12" s="25">
        <v>0.7</v>
      </c>
      <c r="G12" s="147"/>
      <c r="H12" s="147"/>
      <c r="I12" s="14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3">
      <c r="A13" s="12" t="s">
        <v>0</v>
      </c>
      <c r="B13" s="22" t="s">
        <v>14</v>
      </c>
      <c r="C13" s="23"/>
      <c r="D13" s="15" t="s">
        <v>9</v>
      </c>
      <c r="E13" s="24"/>
      <c r="F13" s="25">
        <v>3.68</v>
      </c>
      <c r="G13" s="147"/>
      <c r="H13" s="147"/>
      <c r="I13" s="14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5" customHeight="1" x14ac:dyDescent="0.3">
      <c r="A14" s="12" t="s">
        <v>0</v>
      </c>
      <c r="B14" s="22" t="s">
        <v>15</v>
      </c>
      <c r="C14" s="23"/>
      <c r="D14" s="15" t="s">
        <v>9</v>
      </c>
      <c r="E14" s="24"/>
      <c r="F14" s="25">
        <v>0.41</v>
      </c>
      <c r="G14" s="147"/>
      <c r="H14" s="147"/>
      <c r="I14" s="14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customHeight="1" x14ac:dyDescent="0.3">
      <c r="A15" s="26" t="s">
        <v>0</v>
      </c>
      <c r="B15" s="22" t="s">
        <v>16</v>
      </c>
      <c r="C15" s="23"/>
      <c r="D15" s="15" t="s">
        <v>9</v>
      </c>
      <c r="E15" s="24"/>
      <c r="F15" s="27">
        <v>0.7</v>
      </c>
      <c r="G15" s="147"/>
      <c r="H15" s="147"/>
      <c r="I15" s="14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customHeight="1" x14ac:dyDescent="0.3">
      <c r="A16" s="26" t="s">
        <v>0</v>
      </c>
      <c r="B16" s="22" t="s">
        <v>17</v>
      </c>
      <c r="C16" s="23"/>
      <c r="D16" s="15" t="s">
        <v>9</v>
      </c>
      <c r="E16" s="24"/>
      <c r="F16" s="25">
        <v>0.4</v>
      </c>
      <c r="G16" s="147"/>
      <c r="H16" s="147"/>
      <c r="I16" s="14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">
      <c r="A17" s="26" t="s">
        <v>0</v>
      </c>
      <c r="B17" s="22" t="s">
        <v>18</v>
      </c>
      <c r="C17" s="23"/>
      <c r="D17" s="15" t="s">
        <v>9</v>
      </c>
      <c r="E17" s="24"/>
      <c r="F17" s="25">
        <v>0.42</v>
      </c>
      <c r="G17" s="147"/>
      <c r="H17" s="147"/>
      <c r="I17" s="14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 x14ac:dyDescent="0.3">
      <c r="A18" s="26" t="s">
        <v>0</v>
      </c>
      <c r="B18" s="22" t="s">
        <v>19</v>
      </c>
      <c r="C18" s="23"/>
      <c r="D18" s="15" t="s">
        <v>9</v>
      </c>
      <c r="E18" s="24"/>
      <c r="F18" s="25">
        <v>0.8</v>
      </c>
      <c r="G18" s="147"/>
      <c r="H18" s="147"/>
      <c r="I18" s="14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5" customHeight="1" x14ac:dyDescent="0.3">
      <c r="A19" s="26" t="s">
        <v>0</v>
      </c>
      <c r="B19" s="22" t="s">
        <v>20</v>
      </c>
      <c r="C19" s="23"/>
      <c r="D19" s="15" t="s">
        <v>9</v>
      </c>
      <c r="E19" s="24"/>
      <c r="F19" s="25">
        <v>0.66</v>
      </c>
      <c r="G19" s="147"/>
      <c r="H19" s="147"/>
      <c r="I19" s="14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 x14ac:dyDescent="0.3">
      <c r="A20" s="26"/>
      <c r="B20" s="22" t="s">
        <v>21</v>
      </c>
      <c r="C20" s="23"/>
      <c r="D20" s="15" t="s">
        <v>9</v>
      </c>
      <c r="E20" s="24"/>
      <c r="F20" s="25">
        <v>0.65</v>
      </c>
      <c r="G20" s="147"/>
      <c r="H20" s="147"/>
      <c r="I20" s="14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5" customHeight="1" x14ac:dyDescent="0.3">
      <c r="A21" s="26" t="s">
        <v>0</v>
      </c>
      <c r="B21" s="22" t="s">
        <v>22</v>
      </c>
      <c r="C21" s="23"/>
      <c r="D21" s="15" t="s">
        <v>9</v>
      </c>
      <c r="E21" s="24"/>
      <c r="F21" s="25">
        <v>0.66</v>
      </c>
      <c r="G21" s="147"/>
      <c r="H21" s="147"/>
      <c r="I21" s="14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5" customHeight="1" x14ac:dyDescent="0.3">
      <c r="A22" s="26" t="s">
        <v>0</v>
      </c>
      <c r="B22" s="22" t="s">
        <v>23</v>
      </c>
      <c r="C22" s="23"/>
      <c r="D22" s="15" t="s">
        <v>9</v>
      </c>
      <c r="E22" s="24"/>
      <c r="F22" s="25">
        <v>1.05</v>
      </c>
      <c r="G22" s="147"/>
      <c r="H22" s="147"/>
      <c r="I22" s="14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5" customHeight="1" x14ac:dyDescent="0.3">
      <c r="A23" s="26" t="s">
        <v>0</v>
      </c>
      <c r="B23" s="22" t="s">
        <v>24</v>
      </c>
      <c r="C23" s="23"/>
      <c r="D23" s="15" t="s">
        <v>9</v>
      </c>
      <c r="E23" s="24"/>
      <c r="F23" s="25">
        <v>0.78</v>
      </c>
      <c r="G23" s="147"/>
      <c r="H23" s="147"/>
      <c r="I23" s="14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5" customHeight="1" x14ac:dyDescent="0.3">
      <c r="A24" s="26" t="s">
        <v>0</v>
      </c>
      <c r="B24" s="22" t="s">
        <v>25</v>
      </c>
      <c r="C24" s="23"/>
      <c r="D24" s="15" t="s">
        <v>9</v>
      </c>
      <c r="E24" s="24"/>
      <c r="F24" s="25">
        <v>0.18</v>
      </c>
      <c r="G24" s="147"/>
      <c r="H24" s="147"/>
      <c r="I24" s="14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5" customHeight="1" x14ac:dyDescent="0.3">
      <c r="A25" s="26" t="s">
        <v>0</v>
      </c>
      <c r="B25" s="22" t="s">
        <v>26</v>
      </c>
      <c r="C25" s="23"/>
      <c r="D25" s="15" t="s">
        <v>9</v>
      </c>
      <c r="E25" s="24"/>
      <c r="F25" s="25">
        <v>0.16</v>
      </c>
      <c r="G25" s="147"/>
      <c r="H25" s="147"/>
      <c r="I25" s="14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5" customHeight="1" x14ac:dyDescent="0.3">
      <c r="A26" s="26" t="s">
        <v>0</v>
      </c>
      <c r="B26" s="22" t="s">
        <v>27</v>
      </c>
      <c r="C26" s="23"/>
      <c r="D26" s="15" t="s">
        <v>9</v>
      </c>
      <c r="E26" s="24"/>
      <c r="F26" s="25">
        <v>1.44</v>
      </c>
      <c r="G26" s="147"/>
      <c r="H26" s="147"/>
      <c r="I26" s="14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5" customHeight="1" x14ac:dyDescent="0.3">
      <c r="A27" s="26" t="s">
        <v>0</v>
      </c>
      <c r="B27" s="22" t="s">
        <v>28</v>
      </c>
      <c r="C27" s="23"/>
      <c r="D27" s="15" t="s">
        <v>9</v>
      </c>
      <c r="E27" s="24"/>
      <c r="F27" s="25">
        <v>1.91</v>
      </c>
      <c r="G27" s="147"/>
      <c r="H27" s="147"/>
      <c r="I27" s="14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5" customHeight="1" x14ac:dyDescent="0.3">
      <c r="A28" s="26" t="s">
        <v>0</v>
      </c>
      <c r="B28" s="22" t="s">
        <v>29</v>
      </c>
      <c r="C28" s="23"/>
      <c r="D28" s="15" t="s">
        <v>9</v>
      </c>
      <c r="E28" s="24"/>
      <c r="F28" s="25">
        <v>2.82</v>
      </c>
      <c r="G28" s="147"/>
      <c r="H28" s="147"/>
      <c r="I28" s="14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">
      <c r="A29" s="26" t="s">
        <v>0</v>
      </c>
      <c r="B29" s="22" t="s">
        <v>30</v>
      </c>
      <c r="C29" s="23"/>
      <c r="D29" s="15" t="s">
        <v>9</v>
      </c>
      <c r="E29" s="24"/>
      <c r="F29" s="25">
        <v>0.38</v>
      </c>
      <c r="G29" s="147"/>
      <c r="H29" s="147"/>
      <c r="I29" s="14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26" t="s">
        <v>0</v>
      </c>
      <c r="B30" s="22" t="s">
        <v>31</v>
      </c>
      <c r="C30" s="23"/>
      <c r="D30" s="15" t="s">
        <v>9</v>
      </c>
      <c r="E30" s="24"/>
      <c r="F30" s="25">
        <v>0.68</v>
      </c>
      <c r="G30" s="147"/>
      <c r="H30" s="147"/>
      <c r="I30" s="14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26" t="s">
        <v>0</v>
      </c>
      <c r="B31" s="22" t="s">
        <v>32</v>
      </c>
      <c r="C31" s="23"/>
      <c r="D31" s="15" t="s">
        <v>9</v>
      </c>
      <c r="E31" s="24"/>
      <c r="F31" s="25">
        <v>0.54</v>
      </c>
      <c r="G31" s="147"/>
      <c r="H31" s="147"/>
      <c r="I31" s="14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26" t="s">
        <v>0</v>
      </c>
      <c r="B32" s="22" t="s">
        <v>33</v>
      </c>
      <c r="C32" s="4"/>
      <c r="D32" s="15" t="s">
        <v>9</v>
      </c>
      <c r="E32" s="24"/>
      <c r="F32" s="25">
        <v>0.6</v>
      </c>
      <c r="G32" s="147"/>
      <c r="H32" s="147"/>
      <c r="I32" s="14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5" customHeight="1" x14ac:dyDescent="0.3">
      <c r="A33" s="26" t="s">
        <v>0</v>
      </c>
      <c r="B33" s="22" t="s">
        <v>34</v>
      </c>
      <c r="C33" s="23"/>
      <c r="D33" s="15" t="s">
        <v>9</v>
      </c>
      <c r="E33" s="24"/>
      <c r="F33" s="25">
        <v>1.48</v>
      </c>
      <c r="G33" s="147"/>
      <c r="H33" s="147"/>
      <c r="I33" s="14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5" customHeight="1" x14ac:dyDescent="0.3">
      <c r="A34" s="26" t="s">
        <v>0</v>
      </c>
      <c r="B34" s="22" t="s">
        <v>35</v>
      </c>
      <c r="C34" s="23"/>
      <c r="D34" s="15" t="s">
        <v>9</v>
      </c>
      <c r="E34" s="24"/>
      <c r="F34" s="25">
        <v>0.33</v>
      </c>
      <c r="G34" s="147"/>
      <c r="H34" s="147"/>
      <c r="I34" s="14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5" customHeight="1" x14ac:dyDescent="0.3">
      <c r="A35" s="26" t="s">
        <v>0</v>
      </c>
      <c r="B35" s="22" t="s">
        <v>36</v>
      </c>
      <c r="C35" s="23"/>
      <c r="D35" s="15" t="s">
        <v>9</v>
      </c>
      <c r="E35" s="24"/>
      <c r="F35" s="25">
        <v>0.17</v>
      </c>
      <c r="G35" s="147"/>
      <c r="H35" s="147"/>
      <c r="I35" s="14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5" customHeight="1" x14ac:dyDescent="0.3">
      <c r="A36" s="26" t="s">
        <v>0</v>
      </c>
      <c r="B36" s="22" t="s">
        <v>37</v>
      </c>
      <c r="C36" s="23"/>
      <c r="D36" s="15" t="s">
        <v>9</v>
      </c>
      <c r="E36" s="24"/>
      <c r="F36" s="25"/>
      <c r="G36" s="147"/>
      <c r="H36" s="147"/>
      <c r="I36" s="14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5" customHeight="1" x14ac:dyDescent="0.3">
      <c r="A37" s="26" t="s">
        <v>0</v>
      </c>
      <c r="B37" s="22" t="s">
        <v>38</v>
      </c>
      <c r="C37" s="23"/>
      <c r="D37" s="15" t="s">
        <v>9</v>
      </c>
      <c r="E37" s="24"/>
      <c r="F37" s="25">
        <v>0.95</v>
      </c>
      <c r="G37" s="147"/>
      <c r="H37" s="147"/>
      <c r="I37" s="14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3">
      <c r="A38" s="26" t="s">
        <v>0</v>
      </c>
      <c r="B38" s="22" t="s">
        <v>39</v>
      </c>
      <c r="C38" s="23"/>
      <c r="D38" s="15" t="s">
        <v>9</v>
      </c>
      <c r="E38" s="24"/>
      <c r="F38" s="25">
        <v>0.57999999999999996</v>
      </c>
      <c r="G38" s="147"/>
      <c r="H38" s="147"/>
      <c r="I38" s="14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">
      <c r="A39" s="26" t="s">
        <v>40</v>
      </c>
      <c r="B39" s="28" t="s">
        <v>41</v>
      </c>
      <c r="C39" s="129"/>
      <c r="D39" s="29" t="s">
        <v>42</v>
      </c>
      <c r="E39" s="129"/>
      <c r="F39" s="30">
        <v>5.95</v>
      </c>
      <c r="G39" s="147"/>
      <c r="H39" s="147"/>
      <c r="I39" s="14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3">
      <c r="A40" s="26" t="s">
        <v>40</v>
      </c>
      <c r="B40" s="28" t="s">
        <v>43</v>
      </c>
      <c r="C40" s="129"/>
      <c r="D40" s="29" t="s">
        <v>42</v>
      </c>
      <c r="E40" s="129"/>
      <c r="F40" s="30">
        <v>8.9700000000000006</v>
      </c>
      <c r="G40" s="147"/>
      <c r="H40" s="147"/>
      <c r="I40" s="14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3">
      <c r="A41" s="46" t="s">
        <v>44</v>
      </c>
      <c r="B41" s="47" t="s">
        <v>45</v>
      </c>
      <c r="C41" s="24"/>
      <c r="D41" s="29" t="s">
        <v>42</v>
      </c>
      <c r="E41" s="23"/>
      <c r="F41" s="111">
        <v>14.22</v>
      </c>
      <c r="G41" s="31"/>
      <c r="H41" s="147"/>
      <c r="I41" s="14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3">
      <c r="A42" s="46" t="s">
        <v>44</v>
      </c>
      <c r="B42" s="32" t="s">
        <v>46</v>
      </c>
      <c r="C42" s="33"/>
      <c r="D42" s="29" t="s">
        <v>42</v>
      </c>
      <c r="E42" s="23"/>
      <c r="F42" s="111">
        <v>1.65</v>
      </c>
      <c r="G42" s="31"/>
      <c r="H42" s="147"/>
      <c r="I42" s="14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3">
      <c r="A43" s="46" t="s">
        <v>44</v>
      </c>
      <c r="B43" s="53" t="s">
        <v>47</v>
      </c>
      <c r="C43" s="34"/>
      <c r="D43" s="35" t="s">
        <v>44</v>
      </c>
      <c r="E43" s="23"/>
      <c r="F43" s="111">
        <v>0.25</v>
      </c>
      <c r="G43" s="31"/>
      <c r="H43" s="147"/>
      <c r="I43" s="14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3">
      <c r="A44" s="46" t="s">
        <v>44</v>
      </c>
      <c r="B44" s="36" t="s">
        <v>48</v>
      </c>
      <c r="C44" s="37"/>
      <c r="D44" s="35" t="s">
        <v>44</v>
      </c>
      <c r="E44" s="38"/>
      <c r="F44" s="111">
        <v>0.8</v>
      </c>
      <c r="G44" s="31"/>
      <c r="H44" s="147"/>
      <c r="I44" s="14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3">
      <c r="A45" s="39" t="s">
        <v>49</v>
      </c>
      <c r="B45" s="40" t="s">
        <v>50</v>
      </c>
      <c r="C45" s="41"/>
      <c r="D45" s="35" t="s">
        <v>44</v>
      </c>
      <c r="E45" s="129"/>
      <c r="F45" s="42">
        <v>1</v>
      </c>
      <c r="G45" s="147"/>
      <c r="H45" s="147"/>
      <c r="I45" s="14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3">
      <c r="A46" s="43"/>
      <c r="B46" s="44" t="s">
        <v>51</v>
      </c>
      <c r="C46" s="129"/>
      <c r="D46" s="45" t="s">
        <v>52</v>
      </c>
      <c r="E46" s="129"/>
      <c r="F46" s="30">
        <v>5.65</v>
      </c>
      <c r="G46" s="147"/>
      <c r="H46" s="147"/>
      <c r="I46" s="14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3">
      <c r="A47" s="46" t="s">
        <v>6</v>
      </c>
      <c r="B47" s="47" t="s">
        <v>53</v>
      </c>
      <c r="C47" s="24"/>
      <c r="D47" s="144" t="s">
        <v>54</v>
      </c>
      <c r="E47" s="23"/>
      <c r="F47" s="111">
        <v>6</v>
      </c>
      <c r="G47" s="31"/>
      <c r="H47" s="147"/>
      <c r="I47" s="14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3">
      <c r="A48" s="48" t="s">
        <v>49</v>
      </c>
      <c r="B48" s="47" t="s">
        <v>55</v>
      </c>
      <c r="C48" s="24"/>
      <c r="D48" s="45" t="s">
        <v>52</v>
      </c>
      <c r="E48" s="23"/>
      <c r="F48" s="111">
        <v>3.68</v>
      </c>
      <c r="G48" s="31"/>
      <c r="H48" s="147"/>
      <c r="I48" s="14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3" t="s">
        <v>44</v>
      </c>
      <c r="B49" s="49" t="s">
        <v>56</v>
      </c>
      <c r="C49" s="50"/>
      <c r="D49" s="45" t="s">
        <v>52</v>
      </c>
      <c r="E49" s="129"/>
      <c r="F49" s="51">
        <v>6.8</v>
      </c>
      <c r="G49" s="147"/>
      <c r="H49" s="147"/>
      <c r="I49" s="14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3" t="s">
        <v>44</v>
      </c>
      <c r="B50" s="53" t="s">
        <v>57</v>
      </c>
      <c r="C50" s="129"/>
      <c r="D50" s="45" t="s">
        <v>52</v>
      </c>
      <c r="E50" s="129"/>
      <c r="F50" s="54">
        <v>2</v>
      </c>
      <c r="G50" s="147"/>
      <c r="H50" s="147"/>
      <c r="I50" s="14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52" t="s">
        <v>58</v>
      </c>
      <c r="B51" s="53" t="s">
        <v>59</v>
      </c>
      <c r="C51" s="107"/>
      <c r="D51" s="45" t="s">
        <v>52</v>
      </c>
      <c r="E51" s="129"/>
      <c r="F51" s="54">
        <v>28.59</v>
      </c>
      <c r="G51" s="147"/>
      <c r="H51" s="147"/>
      <c r="I51" s="14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3"/>
      <c r="B52" s="53" t="s">
        <v>60</v>
      </c>
      <c r="C52" s="129"/>
      <c r="D52" s="45" t="s">
        <v>52</v>
      </c>
      <c r="E52" s="129"/>
      <c r="F52" s="54">
        <v>25.2</v>
      </c>
      <c r="G52" s="147"/>
      <c r="H52" s="147"/>
      <c r="I52" s="14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52" t="s">
        <v>58</v>
      </c>
      <c r="B53" s="53" t="s">
        <v>61</v>
      </c>
      <c r="C53" s="129"/>
      <c r="D53" s="45" t="s">
        <v>52</v>
      </c>
      <c r="E53" s="129"/>
      <c r="F53" s="54">
        <v>3.5</v>
      </c>
      <c r="G53" s="147"/>
      <c r="H53" s="147"/>
      <c r="I53" s="14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52" t="s">
        <v>58</v>
      </c>
      <c r="B54" s="53" t="s">
        <v>62</v>
      </c>
      <c r="C54" s="129"/>
      <c r="D54" s="55" t="s">
        <v>52</v>
      </c>
      <c r="E54" s="129"/>
      <c r="F54" s="54">
        <v>33333</v>
      </c>
      <c r="G54" s="147"/>
      <c r="H54" s="147"/>
      <c r="I54" s="14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52" t="s">
        <v>58</v>
      </c>
      <c r="B55" s="53" t="s">
        <v>63</v>
      </c>
      <c r="C55" s="129"/>
      <c r="D55" s="55" t="s">
        <v>52</v>
      </c>
      <c r="E55" s="129"/>
      <c r="F55" s="54">
        <v>12.5</v>
      </c>
      <c r="G55" s="147"/>
      <c r="H55" s="147"/>
      <c r="I55" s="14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56" t="s">
        <v>64</v>
      </c>
      <c r="B56" s="53" t="s">
        <v>65</v>
      </c>
      <c r="C56" s="129"/>
      <c r="D56" s="57" t="s">
        <v>42</v>
      </c>
      <c r="E56" s="129"/>
      <c r="F56" s="54">
        <v>19.899999999999999</v>
      </c>
      <c r="G56" s="147"/>
      <c r="H56" s="147"/>
      <c r="I56" s="14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52" t="s">
        <v>58</v>
      </c>
      <c r="B57" s="53" t="s">
        <v>66</v>
      </c>
      <c r="C57" s="129"/>
      <c r="D57" s="58" t="s">
        <v>42</v>
      </c>
      <c r="E57" s="129"/>
      <c r="F57" s="54">
        <v>85.56</v>
      </c>
      <c r="G57" s="147"/>
      <c r="H57" s="147"/>
      <c r="I57" s="14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56"/>
      <c r="B58" s="53" t="s">
        <v>67</v>
      </c>
      <c r="C58" s="129"/>
      <c r="D58" s="59" t="s">
        <v>68</v>
      </c>
      <c r="E58" s="129"/>
      <c r="F58" s="54">
        <v>85.55</v>
      </c>
      <c r="G58" s="147"/>
      <c r="H58" s="147"/>
      <c r="I58" s="14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52" t="s">
        <v>58</v>
      </c>
      <c r="B59" s="53" t="s">
        <v>69</v>
      </c>
      <c r="C59" s="129"/>
      <c r="D59" s="60" t="s">
        <v>70</v>
      </c>
      <c r="E59" s="129"/>
      <c r="F59" s="54">
        <v>55.87</v>
      </c>
      <c r="G59" s="147"/>
      <c r="H59" s="147"/>
      <c r="I59" s="14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52" t="s">
        <v>58</v>
      </c>
      <c r="B60" s="53" t="s">
        <v>71</v>
      </c>
      <c r="C60" s="129"/>
      <c r="D60" s="61" t="s">
        <v>72</v>
      </c>
      <c r="E60" s="129"/>
      <c r="F60" s="54">
        <v>0.51</v>
      </c>
      <c r="G60" s="147"/>
      <c r="H60" s="147"/>
      <c r="I60" s="14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56" t="s">
        <v>64</v>
      </c>
      <c r="B61" s="62" t="s">
        <v>73</v>
      </c>
      <c r="C61" s="129"/>
      <c r="D61" s="63" t="s">
        <v>9</v>
      </c>
      <c r="E61" s="129"/>
      <c r="F61" s="54">
        <v>0.35</v>
      </c>
      <c r="G61" s="147"/>
      <c r="H61" s="64"/>
      <c r="I61" s="14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52" t="s">
        <v>58</v>
      </c>
      <c r="B62" s="53" t="s">
        <v>74</v>
      </c>
      <c r="C62" s="129"/>
      <c r="D62" s="65" t="s">
        <v>72</v>
      </c>
      <c r="E62" s="129"/>
      <c r="F62" s="54">
        <v>2.4500000000000002</v>
      </c>
      <c r="G62" s="147"/>
      <c r="H62" s="147"/>
      <c r="I62" s="14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52" t="s">
        <v>58</v>
      </c>
      <c r="B63" s="53" t="s">
        <v>75</v>
      </c>
      <c r="C63" s="23"/>
      <c r="D63" s="57" t="s">
        <v>42</v>
      </c>
      <c r="E63" s="24"/>
      <c r="F63" s="54">
        <v>0.44</v>
      </c>
      <c r="G63" s="147"/>
      <c r="H63" s="147"/>
      <c r="I63" s="14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 x14ac:dyDescent="0.3">
      <c r="A64" s="52" t="s">
        <v>58</v>
      </c>
      <c r="B64" s="53" t="s">
        <v>76</v>
      </c>
      <c r="C64" s="23"/>
      <c r="D64" s="15" t="s">
        <v>9</v>
      </c>
      <c r="E64" s="24"/>
      <c r="F64" s="54">
        <v>0.44</v>
      </c>
      <c r="G64" s="147"/>
      <c r="H64" s="147"/>
      <c r="I64" s="14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56" t="s">
        <v>64</v>
      </c>
      <c r="B65" s="53" t="s">
        <v>77</v>
      </c>
      <c r="C65" s="23"/>
      <c r="D65" s="114" t="s">
        <v>52</v>
      </c>
      <c r="E65" s="24"/>
      <c r="F65" s="54">
        <v>13.2</v>
      </c>
      <c r="G65" s="147"/>
      <c r="H65" s="147"/>
      <c r="I65" s="14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56" t="s">
        <v>64</v>
      </c>
      <c r="B66" s="53" t="s">
        <v>78</v>
      </c>
      <c r="C66" s="23"/>
      <c r="D66" s="66" t="s">
        <v>44</v>
      </c>
      <c r="E66" s="24"/>
      <c r="F66" s="54">
        <v>7.95</v>
      </c>
      <c r="G66" s="64"/>
      <c r="H66" s="147"/>
      <c r="I66" s="14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56" t="s">
        <v>64</v>
      </c>
      <c r="B67" s="53" t="s">
        <v>79</v>
      </c>
      <c r="C67" s="23"/>
      <c r="D67" s="66" t="s">
        <v>44</v>
      </c>
      <c r="E67" s="24"/>
      <c r="F67" s="54">
        <v>10.3</v>
      </c>
      <c r="G67" s="64"/>
      <c r="H67" s="147"/>
      <c r="I67" s="14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56" t="s">
        <v>64</v>
      </c>
      <c r="B68" s="53" t="s">
        <v>80</v>
      </c>
      <c r="C68" s="23"/>
      <c r="D68" s="114" t="s">
        <v>52</v>
      </c>
      <c r="E68" s="24"/>
      <c r="F68" s="54">
        <v>8.6300000000000008</v>
      </c>
      <c r="G68" s="147"/>
      <c r="H68" s="147"/>
      <c r="I68" s="14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56" t="s">
        <v>64</v>
      </c>
      <c r="B69" s="53" t="s">
        <v>81</v>
      </c>
      <c r="C69" s="23"/>
      <c r="D69" s="78" t="s">
        <v>82</v>
      </c>
      <c r="E69" s="24"/>
      <c r="F69" s="54">
        <v>21.9</v>
      </c>
      <c r="G69" s="147"/>
      <c r="H69" s="147"/>
      <c r="I69" s="14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56" t="s">
        <v>64</v>
      </c>
      <c r="B70" s="67" t="s">
        <v>83</v>
      </c>
      <c r="C70" s="23"/>
      <c r="D70" s="57" t="s">
        <v>42</v>
      </c>
      <c r="E70" s="68"/>
      <c r="F70" s="69">
        <v>18.989999999999998</v>
      </c>
      <c r="G70" s="70"/>
      <c r="H70" s="147"/>
      <c r="I70" s="14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56" t="s">
        <v>64</v>
      </c>
      <c r="B71" s="53" t="s">
        <v>84</v>
      </c>
      <c r="C71" s="23"/>
      <c r="D71" s="57" t="s">
        <v>42</v>
      </c>
      <c r="E71" s="24"/>
      <c r="F71" s="54">
        <v>522.04999999999995</v>
      </c>
      <c r="G71" s="70"/>
      <c r="H71" s="64"/>
      <c r="I71" s="14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56" t="s">
        <v>64</v>
      </c>
      <c r="B72" s="71" t="s">
        <v>85</v>
      </c>
      <c r="C72" s="72"/>
      <c r="D72" s="57" t="s">
        <v>42</v>
      </c>
      <c r="E72" s="24"/>
      <c r="F72" s="54">
        <v>1.1499999999999999</v>
      </c>
      <c r="G72" s="147"/>
      <c r="H72" s="147"/>
      <c r="I72" s="14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56" t="s">
        <v>64</v>
      </c>
      <c r="B73" s="75" t="s">
        <v>86</v>
      </c>
      <c r="C73" s="23"/>
      <c r="D73" s="57" t="s">
        <v>42</v>
      </c>
      <c r="E73" s="24"/>
      <c r="F73" s="54">
        <v>0.01</v>
      </c>
      <c r="G73" s="64"/>
      <c r="H73" s="147"/>
      <c r="I73" s="14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56"/>
      <c r="B74" s="73" t="s">
        <v>87</v>
      </c>
      <c r="C74" s="23"/>
      <c r="D74" s="57" t="s">
        <v>42</v>
      </c>
      <c r="E74" s="24"/>
      <c r="F74" s="54">
        <v>0.82</v>
      </c>
      <c r="G74" s="147"/>
      <c r="H74" s="147"/>
      <c r="I74" s="14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56"/>
      <c r="B75" s="75" t="s">
        <v>88</v>
      </c>
      <c r="C75" s="23" t="s">
        <v>89</v>
      </c>
      <c r="D75" s="66" t="s">
        <v>44</v>
      </c>
      <c r="E75" s="24"/>
      <c r="F75" s="54">
        <v>0.76</v>
      </c>
      <c r="G75" s="147"/>
      <c r="H75" s="147"/>
      <c r="I75" s="14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56"/>
      <c r="B76" s="75" t="s">
        <v>90</v>
      </c>
      <c r="C76" s="23"/>
      <c r="D76" s="74" t="s">
        <v>91</v>
      </c>
      <c r="E76" s="24"/>
      <c r="F76" s="54">
        <v>3.75</v>
      </c>
      <c r="G76" s="70"/>
      <c r="H76" s="147"/>
      <c r="I76" s="14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56"/>
      <c r="B77" s="75" t="s">
        <v>92</v>
      </c>
      <c r="C77" s="23"/>
      <c r="D77" s="74" t="s">
        <v>91</v>
      </c>
      <c r="E77" s="24"/>
      <c r="F77" s="54">
        <v>3.75</v>
      </c>
      <c r="G77" s="70"/>
      <c r="H77" s="147"/>
      <c r="I77" s="14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3"/>
      <c r="B78" s="75" t="s">
        <v>93</v>
      </c>
      <c r="C78" s="23"/>
      <c r="D78" s="129"/>
      <c r="E78" s="24"/>
      <c r="F78" s="54">
        <v>1.56</v>
      </c>
      <c r="G78" s="70"/>
      <c r="H78" s="64"/>
      <c r="I78" s="14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56"/>
      <c r="B79" s="75" t="s">
        <v>94</v>
      </c>
      <c r="C79" s="23"/>
      <c r="D79" s="114" t="s">
        <v>52</v>
      </c>
      <c r="E79" s="24"/>
      <c r="F79" s="54">
        <v>2.5</v>
      </c>
      <c r="G79" s="147"/>
      <c r="H79" s="147"/>
      <c r="I79" s="14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56"/>
      <c r="B80" s="75" t="s">
        <v>95</v>
      </c>
      <c r="C80" s="23"/>
      <c r="D80" s="78" t="s">
        <v>82</v>
      </c>
      <c r="E80" s="68"/>
      <c r="F80" s="69">
        <v>0.9</v>
      </c>
      <c r="G80" s="64"/>
      <c r="H80" s="147"/>
      <c r="I80" s="14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56"/>
      <c r="B81" s="76" t="s">
        <v>96</v>
      </c>
      <c r="C81" s="23"/>
      <c r="D81" s="15" t="s">
        <v>9</v>
      </c>
      <c r="E81" s="24"/>
      <c r="F81" s="54">
        <v>0.54</v>
      </c>
      <c r="G81" s="147"/>
      <c r="H81" s="147"/>
      <c r="I81" s="14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56"/>
      <c r="B82" s="225" t="s">
        <v>97</v>
      </c>
      <c r="C82" s="23"/>
      <c r="D82" s="15" t="s">
        <v>9</v>
      </c>
      <c r="E82" s="24"/>
      <c r="F82" s="54">
        <v>6</v>
      </c>
      <c r="G82" s="147"/>
      <c r="H82" s="147"/>
      <c r="I82" s="14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56"/>
      <c r="B83" s="225" t="s">
        <v>98</v>
      </c>
      <c r="C83" s="72"/>
      <c r="D83" s="15" t="s">
        <v>9</v>
      </c>
      <c r="E83" s="24"/>
      <c r="F83" s="54">
        <v>1.79</v>
      </c>
      <c r="G83" s="147"/>
      <c r="H83" s="147"/>
      <c r="I83" s="14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56"/>
      <c r="B84" s="225" t="s">
        <v>99</v>
      </c>
      <c r="C84" s="23"/>
      <c r="D84" s="15" t="s">
        <v>9</v>
      </c>
      <c r="E84" s="24"/>
      <c r="F84" s="54">
        <v>8.83</v>
      </c>
      <c r="G84" s="147"/>
      <c r="H84" s="147"/>
      <c r="I84" s="14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56"/>
      <c r="B85" s="53" t="s">
        <v>100</v>
      </c>
      <c r="C85" s="23"/>
      <c r="D85" s="114" t="s">
        <v>52</v>
      </c>
      <c r="E85" s="24"/>
      <c r="F85" s="54">
        <v>8.5500000000000007</v>
      </c>
      <c r="G85" s="70"/>
      <c r="H85" s="147"/>
      <c r="I85" s="14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56"/>
      <c r="B86" s="53" t="s">
        <v>101</v>
      </c>
      <c r="C86" s="23" t="s">
        <v>102</v>
      </c>
      <c r="D86" s="77" t="s">
        <v>102</v>
      </c>
      <c r="E86" s="24"/>
      <c r="F86" s="54">
        <v>2.65</v>
      </c>
      <c r="G86" s="70"/>
      <c r="H86" s="147"/>
      <c r="I86" s="14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56" t="s">
        <v>64</v>
      </c>
      <c r="B87" s="53" t="s">
        <v>103</v>
      </c>
      <c r="C87" s="23"/>
      <c r="D87" s="78" t="s">
        <v>104</v>
      </c>
      <c r="E87" s="24"/>
      <c r="F87" s="54">
        <v>2.1800000000000002</v>
      </c>
      <c r="G87" s="147"/>
      <c r="H87" s="147"/>
      <c r="I87" s="14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56" t="s">
        <v>64</v>
      </c>
      <c r="B88" s="53" t="s">
        <v>105</v>
      </c>
      <c r="C88" s="23"/>
      <c r="D88" s="77" t="s">
        <v>102</v>
      </c>
      <c r="E88" s="24"/>
      <c r="F88" s="54">
        <v>6.15</v>
      </c>
      <c r="G88" s="147"/>
      <c r="H88" s="147"/>
      <c r="I88" s="14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56" t="s">
        <v>64</v>
      </c>
      <c r="B89" s="53" t="s">
        <v>106</v>
      </c>
      <c r="C89" s="23"/>
      <c r="D89" s="77" t="s">
        <v>102</v>
      </c>
      <c r="E89" s="24"/>
      <c r="F89" s="54">
        <v>7.6</v>
      </c>
      <c r="G89" s="64"/>
      <c r="H89" s="147"/>
      <c r="I89" s="14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56" t="s">
        <v>64</v>
      </c>
      <c r="B90" s="53" t="s">
        <v>107</v>
      </c>
      <c r="C90" s="23"/>
      <c r="D90" s="78" t="s">
        <v>108</v>
      </c>
      <c r="E90" s="24"/>
      <c r="F90" s="54">
        <v>5.95</v>
      </c>
      <c r="G90" s="147"/>
      <c r="H90" s="147"/>
      <c r="I90" s="14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39" t="s">
        <v>49</v>
      </c>
      <c r="B91" s="53" t="s">
        <v>109</v>
      </c>
      <c r="C91" s="23"/>
      <c r="D91" s="114" t="s">
        <v>52</v>
      </c>
      <c r="E91" s="24"/>
      <c r="F91" s="54">
        <v>0.42</v>
      </c>
      <c r="G91" s="64"/>
      <c r="H91" s="147"/>
      <c r="I91" s="14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56"/>
      <c r="B92" s="53" t="s">
        <v>110</v>
      </c>
      <c r="C92" s="23"/>
      <c r="D92" s="78" t="s">
        <v>111</v>
      </c>
      <c r="E92" s="24"/>
      <c r="F92" s="54">
        <v>0.42</v>
      </c>
      <c r="G92" s="64"/>
      <c r="H92" s="147"/>
      <c r="I92" s="14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56" t="s">
        <v>64</v>
      </c>
      <c r="B93" s="53" t="s">
        <v>112</v>
      </c>
      <c r="C93" s="23"/>
      <c r="D93" s="77" t="s">
        <v>102</v>
      </c>
      <c r="E93" s="24"/>
      <c r="F93" s="54">
        <v>0.2</v>
      </c>
      <c r="G93" s="64"/>
      <c r="H93" s="147"/>
      <c r="I93" s="14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56" t="s">
        <v>64</v>
      </c>
      <c r="B94" s="53" t="s">
        <v>113</v>
      </c>
      <c r="C94" s="23"/>
      <c r="D94" s="114" t="s">
        <v>52</v>
      </c>
      <c r="E94" s="24"/>
      <c r="F94" s="54">
        <v>1.79</v>
      </c>
      <c r="G94" s="64"/>
      <c r="H94" s="147"/>
      <c r="I94" s="14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56" t="s">
        <v>64</v>
      </c>
      <c r="B95" s="53" t="s">
        <v>114</v>
      </c>
      <c r="C95" s="23"/>
      <c r="D95" s="78" t="s">
        <v>115</v>
      </c>
      <c r="E95" s="24"/>
      <c r="F95" s="54">
        <v>1.05</v>
      </c>
      <c r="G95" s="64"/>
      <c r="H95" s="147"/>
      <c r="I95" s="14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56" t="s">
        <v>64</v>
      </c>
      <c r="B96" s="53" t="s">
        <v>116</v>
      </c>
      <c r="C96" s="23"/>
      <c r="D96" s="114" t="s">
        <v>52</v>
      </c>
      <c r="E96" s="24"/>
      <c r="F96" s="54">
        <v>3</v>
      </c>
      <c r="G96" s="64"/>
      <c r="H96" s="147"/>
      <c r="I96" s="14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56" t="s">
        <v>64</v>
      </c>
      <c r="B97" s="53" t="s">
        <v>117</v>
      </c>
      <c r="C97" s="23"/>
      <c r="D97" s="78" t="s">
        <v>118</v>
      </c>
      <c r="E97" s="24"/>
      <c r="F97" s="54">
        <v>0.26</v>
      </c>
      <c r="G97" s="64"/>
      <c r="H97" s="147"/>
      <c r="I97" s="14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56" t="s">
        <v>40</v>
      </c>
      <c r="B98" s="53" t="s">
        <v>119</v>
      </c>
      <c r="C98" s="23"/>
      <c r="D98" s="78" t="s">
        <v>118</v>
      </c>
      <c r="E98" s="24"/>
      <c r="F98" s="54">
        <v>0.16</v>
      </c>
      <c r="G98" s="70"/>
      <c r="H98" s="147"/>
      <c r="I98" s="14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79" t="s">
        <v>120</v>
      </c>
      <c r="B99" s="53" t="s">
        <v>121</v>
      </c>
      <c r="C99" s="23"/>
      <c r="D99" s="78" t="s">
        <v>108</v>
      </c>
      <c r="E99" s="24"/>
      <c r="F99" s="54">
        <v>5.6</v>
      </c>
      <c r="G99" s="147"/>
      <c r="H99" s="147"/>
      <c r="I99" s="14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56" t="s">
        <v>64</v>
      </c>
      <c r="B100" s="53" t="s">
        <v>122</v>
      </c>
      <c r="C100" s="23"/>
      <c r="D100" s="66" t="s">
        <v>44</v>
      </c>
      <c r="E100" s="24"/>
      <c r="F100" s="54">
        <v>10.76</v>
      </c>
      <c r="G100" s="147"/>
      <c r="H100" s="147"/>
      <c r="I100" s="14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56" t="s">
        <v>64</v>
      </c>
      <c r="B101" s="80" t="s">
        <v>122</v>
      </c>
      <c r="C101" s="23"/>
      <c r="D101" s="66" t="s">
        <v>44</v>
      </c>
      <c r="E101" s="24"/>
      <c r="F101" s="54">
        <v>10.98</v>
      </c>
      <c r="G101" s="147"/>
      <c r="H101" s="147"/>
      <c r="I101" s="14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56" t="s">
        <v>64</v>
      </c>
      <c r="B102" s="53" t="s">
        <v>123</v>
      </c>
      <c r="C102" s="23" t="s">
        <v>89</v>
      </c>
      <c r="D102" s="66" t="s">
        <v>44</v>
      </c>
      <c r="E102" s="24"/>
      <c r="F102" s="54">
        <v>0.65</v>
      </c>
      <c r="G102" s="147"/>
      <c r="H102" s="147"/>
      <c r="I102" s="14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81" t="s">
        <v>124</v>
      </c>
      <c r="B103" s="53" t="s">
        <v>125</v>
      </c>
      <c r="C103" s="23"/>
      <c r="D103" s="114" t="s">
        <v>52</v>
      </c>
      <c r="E103" s="24"/>
      <c r="F103" s="54">
        <v>18.75</v>
      </c>
      <c r="G103" s="147"/>
      <c r="H103" s="147"/>
      <c r="I103" s="14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81" t="s">
        <v>126</v>
      </c>
      <c r="B104" s="82" t="s">
        <v>127</v>
      </c>
      <c r="C104" s="23"/>
      <c r="D104" s="57" t="s">
        <v>42</v>
      </c>
      <c r="E104" s="24"/>
      <c r="F104" s="54">
        <v>5.73</v>
      </c>
      <c r="G104" s="147"/>
      <c r="H104" s="147"/>
      <c r="I104" s="14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56" t="s">
        <v>40</v>
      </c>
      <c r="B105" s="83" t="s">
        <v>128</v>
      </c>
      <c r="C105" s="23"/>
      <c r="D105" s="78" t="s">
        <v>82</v>
      </c>
      <c r="E105" s="24"/>
      <c r="F105" s="84">
        <v>3.35</v>
      </c>
      <c r="G105" s="70"/>
      <c r="H105" s="64"/>
      <c r="I105" s="6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56" t="s">
        <v>40</v>
      </c>
      <c r="B106" s="83" t="s">
        <v>129</v>
      </c>
      <c r="C106" s="23"/>
      <c r="D106" s="85" t="s">
        <v>52</v>
      </c>
      <c r="E106" s="24"/>
      <c r="F106" s="84">
        <v>24.16</v>
      </c>
      <c r="G106" s="70"/>
      <c r="H106" s="64"/>
      <c r="I106" s="6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6"/>
      <c r="B107" s="47" t="s">
        <v>130</v>
      </c>
      <c r="C107" s="38"/>
      <c r="D107" s="114" t="s">
        <v>52</v>
      </c>
      <c r="E107" s="38"/>
      <c r="F107" s="111">
        <v>2.5</v>
      </c>
      <c r="G107" s="31"/>
      <c r="H107" s="147"/>
      <c r="I107" s="14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56" t="s">
        <v>40</v>
      </c>
      <c r="B108" s="49" t="s">
        <v>131</v>
      </c>
      <c r="C108" s="37" t="s">
        <v>132</v>
      </c>
      <c r="D108" s="78" t="s">
        <v>133</v>
      </c>
      <c r="E108" s="24"/>
      <c r="F108" s="51">
        <v>5.38</v>
      </c>
      <c r="G108" s="147"/>
      <c r="H108" s="64"/>
      <c r="I108" s="6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86" t="s">
        <v>40</v>
      </c>
      <c r="B109" s="87" t="s">
        <v>134</v>
      </c>
      <c r="C109" s="88"/>
      <c r="D109" s="78" t="s">
        <v>42</v>
      </c>
      <c r="E109" s="89"/>
      <c r="F109" s="8"/>
      <c r="G109" s="10"/>
      <c r="H109" s="10"/>
      <c r="I109" s="10"/>
      <c r="J109" s="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86" t="s">
        <v>40</v>
      </c>
      <c r="B110" s="75" t="s">
        <v>135</v>
      </c>
      <c r="C110" s="2"/>
      <c r="D110" s="57" t="s">
        <v>42</v>
      </c>
      <c r="E110" s="2"/>
      <c r="F110" s="3">
        <v>1.55</v>
      </c>
      <c r="G110" s="2"/>
      <c r="H110" s="2"/>
      <c r="I110" s="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5" t="s">
        <v>44</v>
      </c>
      <c r="B111" s="6" t="s">
        <v>136</v>
      </c>
      <c r="C111" s="23"/>
      <c r="D111" s="114" t="s">
        <v>52</v>
      </c>
      <c r="E111" s="24"/>
      <c r="F111" s="8">
        <v>4.5</v>
      </c>
      <c r="G111" s="90"/>
      <c r="H111" s="9"/>
      <c r="I111" s="10"/>
      <c r="J111" s="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91" t="s">
        <v>49</v>
      </c>
      <c r="B112" s="75" t="s">
        <v>137</v>
      </c>
      <c r="C112" s="23"/>
      <c r="D112" s="114" t="s">
        <v>52</v>
      </c>
      <c r="E112" s="24"/>
      <c r="F112" s="3">
        <v>20.399999999999999</v>
      </c>
      <c r="G112" s="92"/>
      <c r="H112" s="2"/>
      <c r="I112" s="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91" t="s">
        <v>49</v>
      </c>
      <c r="B113" s="13" t="s">
        <v>138</v>
      </c>
      <c r="C113" s="93"/>
      <c r="D113" s="114" t="s">
        <v>52</v>
      </c>
      <c r="E113" s="94"/>
      <c r="F113" s="17">
        <v>10.45</v>
      </c>
      <c r="G113" s="90"/>
      <c r="H113" s="10"/>
      <c r="I113" s="10"/>
      <c r="J113" s="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91" t="s">
        <v>49</v>
      </c>
      <c r="B114" s="13" t="s">
        <v>139</v>
      </c>
      <c r="C114" s="14"/>
      <c r="D114" s="114" t="s">
        <v>52</v>
      </c>
      <c r="E114" s="94"/>
      <c r="F114" s="17">
        <v>4.8499999999999996</v>
      </c>
      <c r="G114" s="10"/>
      <c r="H114" s="10"/>
      <c r="I114" s="10"/>
      <c r="J114" s="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39" t="s">
        <v>49</v>
      </c>
      <c r="B115" s="47" t="s">
        <v>140</v>
      </c>
      <c r="C115" s="95"/>
      <c r="D115" s="114" t="s">
        <v>52</v>
      </c>
      <c r="E115" s="96"/>
      <c r="F115" s="97">
        <v>0.6</v>
      </c>
      <c r="G115" s="147"/>
      <c r="H115" s="147"/>
      <c r="I115" s="14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39" t="s">
        <v>49</v>
      </c>
      <c r="B116" s="47" t="s">
        <v>141</v>
      </c>
      <c r="C116" s="14"/>
      <c r="D116" s="114" t="s">
        <v>52</v>
      </c>
      <c r="E116" s="94"/>
      <c r="F116" s="111">
        <v>0.8</v>
      </c>
      <c r="G116" s="147"/>
      <c r="H116" s="147"/>
      <c r="I116" s="14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98"/>
      <c r="B117" s="47" t="s">
        <v>142</v>
      </c>
      <c r="C117" s="14"/>
      <c r="D117" s="114" t="s">
        <v>52</v>
      </c>
      <c r="E117" s="94"/>
      <c r="F117" s="111">
        <v>2.85</v>
      </c>
      <c r="G117" s="147"/>
      <c r="H117" s="147"/>
      <c r="I117" s="14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99" t="s">
        <v>49</v>
      </c>
      <c r="B118" s="104" t="s">
        <v>143</v>
      </c>
      <c r="C118" s="14"/>
      <c r="D118" s="114" t="s">
        <v>52</v>
      </c>
      <c r="E118" s="94"/>
      <c r="F118" s="111">
        <v>7.2</v>
      </c>
      <c r="G118" s="147"/>
      <c r="H118" s="147"/>
      <c r="I118" s="14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107" t="s">
        <v>144</v>
      </c>
      <c r="B119" s="104" t="s">
        <v>145</v>
      </c>
      <c r="C119" s="14"/>
      <c r="D119" s="77" t="s">
        <v>102</v>
      </c>
      <c r="E119" s="94"/>
      <c r="F119" s="111">
        <v>8.26</v>
      </c>
      <c r="G119" s="147"/>
      <c r="H119" s="147"/>
      <c r="I119" s="14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107" t="s">
        <v>146</v>
      </c>
      <c r="B120" s="100" t="s">
        <v>147</v>
      </c>
      <c r="C120" s="101"/>
      <c r="D120" s="15" t="s">
        <v>9</v>
      </c>
      <c r="E120" s="94"/>
      <c r="F120" s="111">
        <v>12.7</v>
      </c>
      <c r="G120" s="147"/>
      <c r="H120" s="147"/>
      <c r="I120" s="14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hidden="1" customHeight="1" x14ac:dyDescent="0.3">
      <c r="A121" s="107" t="s">
        <v>111</v>
      </c>
      <c r="B121" s="104" t="s">
        <v>148</v>
      </c>
      <c r="C121" s="14"/>
      <c r="D121" s="77" t="s">
        <v>102</v>
      </c>
      <c r="E121" s="94"/>
      <c r="F121" s="111">
        <v>12.5</v>
      </c>
      <c r="G121" s="147"/>
      <c r="H121" s="147"/>
      <c r="I121" s="14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107" t="s">
        <v>146</v>
      </c>
      <c r="B122" s="102" t="s">
        <v>149</v>
      </c>
      <c r="C122" s="14"/>
      <c r="D122" s="15" t="s">
        <v>9</v>
      </c>
      <c r="E122" s="94"/>
      <c r="F122" s="111">
        <v>2.89</v>
      </c>
      <c r="G122" s="147"/>
      <c r="H122" s="147"/>
      <c r="I122" s="14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107" t="s">
        <v>146</v>
      </c>
      <c r="B123" s="104" t="s">
        <v>150</v>
      </c>
      <c r="C123" s="14"/>
      <c r="D123" s="114" t="s">
        <v>52</v>
      </c>
      <c r="E123" s="94"/>
      <c r="F123" s="111">
        <v>2.89</v>
      </c>
      <c r="G123" s="70"/>
      <c r="H123" s="147"/>
      <c r="I123" s="14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hidden="1" customHeight="1" x14ac:dyDescent="0.3">
      <c r="A124" s="107" t="s">
        <v>111</v>
      </c>
      <c r="B124" s="104" t="s">
        <v>151</v>
      </c>
      <c r="C124" s="14"/>
      <c r="D124" s="77" t="s">
        <v>102</v>
      </c>
      <c r="E124" s="94"/>
      <c r="F124" s="111">
        <v>0.35</v>
      </c>
      <c r="G124" s="147"/>
      <c r="H124" s="147"/>
      <c r="I124" s="14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hidden="1" customHeight="1" x14ac:dyDescent="0.3">
      <c r="A125" s="107" t="s">
        <v>111</v>
      </c>
      <c r="B125" s="104" t="s">
        <v>152</v>
      </c>
      <c r="C125" s="14"/>
      <c r="D125" s="78" t="s">
        <v>108</v>
      </c>
      <c r="E125" s="94"/>
      <c r="F125" s="111">
        <v>1.2</v>
      </c>
      <c r="G125" s="147"/>
      <c r="H125" s="147"/>
      <c r="I125" s="14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hidden="1" customHeight="1" x14ac:dyDescent="0.3">
      <c r="A126" s="107" t="s">
        <v>111</v>
      </c>
      <c r="B126" s="104" t="s">
        <v>153</v>
      </c>
      <c r="C126" s="14"/>
      <c r="D126" s="77" t="s">
        <v>102</v>
      </c>
      <c r="E126" s="103"/>
      <c r="F126" s="97">
        <v>0.75</v>
      </c>
      <c r="G126" s="147"/>
      <c r="H126" s="147"/>
      <c r="I126" s="14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107"/>
      <c r="B127" s="104" t="s">
        <v>154</v>
      </c>
      <c r="C127" s="14"/>
      <c r="D127" s="61" t="s">
        <v>72</v>
      </c>
      <c r="E127" s="94"/>
      <c r="F127" s="111">
        <v>0.75</v>
      </c>
      <c r="G127" s="70"/>
      <c r="H127" s="147"/>
      <c r="I127" s="14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107"/>
      <c r="B128" s="104" t="s">
        <v>155</v>
      </c>
      <c r="C128" s="14"/>
      <c r="D128" s="114" t="s">
        <v>52</v>
      </c>
      <c r="E128" s="94"/>
      <c r="F128" s="111">
        <v>0.55000000000000004</v>
      </c>
      <c r="G128" s="147"/>
      <c r="H128" s="147"/>
      <c r="I128" s="14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hidden="1" customHeight="1" x14ac:dyDescent="0.3">
      <c r="A129" s="107" t="s">
        <v>111</v>
      </c>
      <c r="B129" s="105" t="s">
        <v>156</v>
      </c>
      <c r="C129" s="14"/>
      <c r="D129" s="57" t="s">
        <v>42</v>
      </c>
      <c r="E129" s="94"/>
      <c r="F129" s="111">
        <v>0.9</v>
      </c>
      <c r="G129" s="147"/>
      <c r="H129" s="147"/>
      <c r="I129" s="14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hidden="1" customHeight="1" x14ac:dyDescent="0.3">
      <c r="A130" s="107" t="s">
        <v>111</v>
      </c>
      <c r="B130" s="105" t="s">
        <v>157</v>
      </c>
      <c r="C130" s="14"/>
      <c r="D130" s="57" t="s">
        <v>42</v>
      </c>
      <c r="E130" s="94"/>
      <c r="F130" s="111">
        <v>12</v>
      </c>
      <c r="G130" s="147"/>
      <c r="H130" s="147"/>
      <c r="I130" s="14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hidden="1" customHeight="1" x14ac:dyDescent="0.3">
      <c r="A131" s="107" t="s">
        <v>111</v>
      </c>
      <c r="B131" s="104" t="s">
        <v>158</v>
      </c>
      <c r="C131" s="14"/>
      <c r="D131" s="78" t="s">
        <v>159</v>
      </c>
      <c r="E131" s="94"/>
      <c r="F131" s="111">
        <v>22.75</v>
      </c>
      <c r="G131" s="147"/>
      <c r="H131" s="147"/>
      <c r="I131" s="14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hidden="1" customHeight="1" x14ac:dyDescent="0.3">
      <c r="A132" s="107" t="s">
        <v>111</v>
      </c>
      <c r="B132" s="104" t="s">
        <v>160</v>
      </c>
      <c r="C132" s="14"/>
      <c r="D132" s="77" t="s">
        <v>102</v>
      </c>
      <c r="E132" s="94"/>
      <c r="F132" s="111">
        <v>16.398</v>
      </c>
      <c r="G132" s="147"/>
      <c r="H132" s="147"/>
      <c r="I132" s="14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hidden="1" customHeight="1" x14ac:dyDescent="0.3">
      <c r="A133" s="107" t="s">
        <v>111</v>
      </c>
      <c r="B133" s="100" t="s">
        <v>161</v>
      </c>
      <c r="C133" s="14"/>
      <c r="D133" s="15" t="s">
        <v>9</v>
      </c>
      <c r="E133" s="94"/>
      <c r="F133" s="111">
        <v>2.1</v>
      </c>
      <c r="G133" s="147"/>
      <c r="H133" s="147"/>
      <c r="I133" s="14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hidden="1" customHeight="1" x14ac:dyDescent="0.3">
      <c r="A134" s="107" t="s">
        <v>111</v>
      </c>
      <c r="B134" s="102" t="s">
        <v>162</v>
      </c>
      <c r="C134" s="106"/>
      <c r="D134" s="15" t="s">
        <v>9</v>
      </c>
      <c r="E134" s="94"/>
      <c r="F134" s="111">
        <v>0.7</v>
      </c>
      <c r="G134" s="147"/>
      <c r="H134" s="147"/>
      <c r="I134" s="14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hidden="1" customHeight="1" x14ac:dyDescent="0.3">
      <c r="A135" s="107" t="s">
        <v>111</v>
      </c>
      <c r="B135" s="100" t="s">
        <v>163</v>
      </c>
      <c r="C135" s="14"/>
      <c r="D135" s="15" t="s">
        <v>9</v>
      </c>
      <c r="E135" s="94"/>
      <c r="F135" s="111">
        <v>0.5</v>
      </c>
      <c r="G135" s="147"/>
      <c r="H135" s="147"/>
      <c r="I135" s="14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hidden="1" customHeight="1" x14ac:dyDescent="0.3">
      <c r="A136" s="107" t="s">
        <v>111</v>
      </c>
      <c r="B136" s="100" t="s">
        <v>164</v>
      </c>
      <c r="C136" s="14"/>
      <c r="D136" s="15" t="s">
        <v>9</v>
      </c>
      <c r="E136" s="94"/>
      <c r="F136" s="111">
        <v>0.87</v>
      </c>
      <c r="G136" s="147"/>
      <c r="H136" s="147"/>
      <c r="I136" s="14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hidden="1" customHeight="1" x14ac:dyDescent="0.3">
      <c r="A137" s="107" t="s">
        <v>111</v>
      </c>
      <c r="B137" s="102" t="s">
        <v>165</v>
      </c>
      <c r="C137" s="14"/>
      <c r="D137" s="15" t="s">
        <v>9</v>
      </c>
      <c r="E137" s="94"/>
      <c r="F137" s="111">
        <v>0.68</v>
      </c>
      <c r="G137" s="147"/>
      <c r="H137" s="147"/>
      <c r="I137" s="14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hidden="1" customHeight="1" x14ac:dyDescent="0.3">
      <c r="A138" s="107" t="s">
        <v>111</v>
      </c>
      <c r="B138" s="104" t="s">
        <v>166</v>
      </c>
      <c r="C138" s="14"/>
      <c r="D138" s="114" t="s">
        <v>52</v>
      </c>
      <c r="E138" s="94"/>
      <c r="F138" s="111">
        <v>7.62</v>
      </c>
      <c r="G138" s="147"/>
      <c r="H138" s="147"/>
      <c r="I138" s="14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hidden="1" customHeight="1" x14ac:dyDescent="0.3">
      <c r="A139" s="107" t="s">
        <v>111</v>
      </c>
      <c r="B139" s="104" t="s">
        <v>167</v>
      </c>
      <c r="C139" s="14"/>
      <c r="D139" s="78" t="s">
        <v>168</v>
      </c>
      <c r="E139" s="94"/>
      <c r="F139" s="111">
        <v>32.35</v>
      </c>
      <c r="G139" s="147"/>
      <c r="H139" s="147"/>
      <c r="I139" s="14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107" t="s">
        <v>169</v>
      </c>
      <c r="B140" s="104" t="s">
        <v>170</v>
      </c>
      <c r="C140" s="14"/>
      <c r="D140" s="137" t="s">
        <v>168</v>
      </c>
      <c r="E140" s="94"/>
      <c r="F140" s="111">
        <v>3.2</v>
      </c>
      <c r="G140" s="147"/>
      <c r="H140" s="147"/>
      <c r="I140" s="14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107"/>
      <c r="B141" s="104" t="s">
        <v>171</v>
      </c>
      <c r="C141" s="108"/>
      <c r="D141" s="129"/>
      <c r="E141" s="94"/>
      <c r="F141" s="111">
        <v>8</v>
      </c>
      <c r="G141" s="147"/>
      <c r="H141" s="147"/>
      <c r="I141" s="14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107" t="s">
        <v>172</v>
      </c>
      <c r="B142" s="104" t="s">
        <v>173</v>
      </c>
      <c r="C142" s="109"/>
      <c r="D142" s="110" t="s">
        <v>174</v>
      </c>
      <c r="E142" s="94"/>
      <c r="F142" s="111">
        <v>7.43</v>
      </c>
      <c r="G142" s="147"/>
      <c r="H142" s="147"/>
      <c r="I142" s="14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hidden="1" customHeight="1" x14ac:dyDescent="0.3">
      <c r="A143" s="107" t="s">
        <v>111</v>
      </c>
      <c r="B143" s="104" t="s">
        <v>175</v>
      </c>
      <c r="C143" s="14" t="s">
        <v>176</v>
      </c>
      <c r="D143" s="78" t="s">
        <v>177</v>
      </c>
      <c r="E143" s="94"/>
      <c r="F143" s="111">
        <v>0.7</v>
      </c>
      <c r="G143" s="147"/>
      <c r="H143" s="147"/>
      <c r="I143" s="14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107" t="s">
        <v>172</v>
      </c>
      <c r="B144" s="104" t="s">
        <v>178</v>
      </c>
      <c r="C144" s="14"/>
      <c r="D144" s="110" t="s">
        <v>174</v>
      </c>
      <c r="E144" s="94"/>
      <c r="F144" s="111">
        <v>12.88</v>
      </c>
      <c r="G144" s="147"/>
      <c r="H144" s="147"/>
      <c r="I144" s="14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107" t="s">
        <v>172</v>
      </c>
      <c r="B145" s="104" t="s">
        <v>179</v>
      </c>
      <c r="C145" s="14"/>
      <c r="D145" s="78" t="s">
        <v>177</v>
      </c>
      <c r="E145" s="94"/>
      <c r="F145" s="111">
        <v>0.5</v>
      </c>
      <c r="G145" s="147"/>
      <c r="H145" s="147"/>
      <c r="I145" s="14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107" t="s">
        <v>172</v>
      </c>
      <c r="B146" s="104" t="s">
        <v>180</v>
      </c>
      <c r="C146" s="14" t="s">
        <v>181</v>
      </c>
      <c r="D146" s="110" t="s">
        <v>174</v>
      </c>
      <c r="E146" s="94"/>
      <c r="F146" s="111">
        <v>14.3</v>
      </c>
      <c r="G146" s="147"/>
      <c r="H146" s="147"/>
      <c r="I146" s="14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107" t="s">
        <v>172</v>
      </c>
      <c r="B147" s="104" t="s">
        <v>182</v>
      </c>
      <c r="C147" s="14"/>
      <c r="D147" s="110" t="s">
        <v>174</v>
      </c>
      <c r="E147" s="94"/>
      <c r="F147" s="111">
        <v>9.5</v>
      </c>
      <c r="G147" s="147"/>
      <c r="H147" s="147"/>
      <c r="I147" s="14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hidden="1" customHeight="1" x14ac:dyDescent="0.3">
      <c r="A148" s="107" t="s">
        <v>111</v>
      </c>
      <c r="B148" s="104" t="s">
        <v>183</v>
      </c>
      <c r="C148" s="14"/>
      <c r="D148" s="110" t="s">
        <v>174</v>
      </c>
      <c r="E148" s="94"/>
      <c r="F148" s="111">
        <v>12.5</v>
      </c>
      <c r="G148" s="147"/>
      <c r="H148" s="147"/>
      <c r="I148" s="14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hidden="1" customHeight="1" x14ac:dyDescent="0.3">
      <c r="A149" s="107" t="s">
        <v>111</v>
      </c>
      <c r="B149" s="104" t="s">
        <v>184</v>
      </c>
      <c r="C149" s="14"/>
      <c r="D149" s="78" t="s">
        <v>72</v>
      </c>
      <c r="E149" s="94"/>
      <c r="F149" s="111">
        <v>3.75</v>
      </c>
      <c r="G149" s="147"/>
      <c r="H149" s="147"/>
      <c r="I149" s="14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hidden="1" customHeight="1" x14ac:dyDescent="0.3">
      <c r="A150" s="107" t="s">
        <v>111</v>
      </c>
      <c r="B150" s="104" t="s">
        <v>185</v>
      </c>
      <c r="C150" s="14"/>
      <c r="D150" s="78" t="s">
        <v>42</v>
      </c>
      <c r="E150" s="94"/>
      <c r="F150" s="111">
        <v>4.59</v>
      </c>
      <c r="G150" s="147"/>
      <c r="H150" s="147"/>
      <c r="I150" s="14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hidden="1" customHeight="1" x14ac:dyDescent="0.3">
      <c r="A151" s="107" t="s">
        <v>111</v>
      </c>
      <c r="B151" s="104" t="s">
        <v>186</v>
      </c>
      <c r="C151" s="112" t="s">
        <v>187</v>
      </c>
      <c r="D151" s="78" t="s">
        <v>42</v>
      </c>
      <c r="E151" s="94"/>
      <c r="F151" s="111">
        <v>11.29</v>
      </c>
      <c r="G151" s="147"/>
      <c r="H151" s="147"/>
      <c r="I151" s="14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hidden="1" customHeight="1" x14ac:dyDescent="0.3">
      <c r="A152" s="107" t="s">
        <v>111</v>
      </c>
      <c r="B152" s="104" t="s">
        <v>188</v>
      </c>
      <c r="C152" s="112" t="s">
        <v>187</v>
      </c>
      <c r="D152" s="78" t="s">
        <v>42</v>
      </c>
      <c r="E152" s="94"/>
      <c r="F152" s="111">
        <v>17.63</v>
      </c>
      <c r="G152" s="147"/>
      <c r="H152" s="147"/>
      <c r="I152" s="14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hidden="1" customHeight="1" x14ac:dyDescent="0.3">
      <c r="A153" s="107" t="s">
        <v>111</v>
      </c>
      <c r="B153" s="104" t="s">
        <v>189</v>
      </c>
      <c r="C153" s="14"/>
      <c r="D153" s="61" t="s">
        <v>72</v>
      </c>
      <c r="E153" s="94"/>
      <c r="F153" s="111">
        <v>16.72</v>
      </c>
      <c r="G153" s="147"/>
      <c r="H153" s="147"/>
      <c r="I153" s="14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hidden="1" customHeight="1" x14ac:dyDescent="0.3">
      <c r="A154" s="107" t="s">
        <v>111</v>
      </c>
      <c r="B154" s="104" t="s">
        <v>190</v>
      </c>
      <c r="C154" s="14"/>
      <c r="D154" s="61" t="s">
        <v>72</v>
      </c>
      <c r="E154" s="94"/>
      <c r="F154" s="111">
        <v>16.399999999999999</v>
      </c>
      <c r="G154" s="147"/>
      <c r="H154" s="147"/>
      <c r="I154" s="14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hidden="1" customHeight="1" x14ac:dyDescent="0.3">
      <c r="A155" s="107" t="s">
        <v>111</v>
      </c>
      <c r="B155" s="104" t="s">
        <v>191</v>
      </c>
      <c r="C155" s="14"/>
      <c r="D155" s="77" t="s">
        <v>102</v>
      </c>
      <c r="E155" s="94"/>
      <c r="F155" s="111">
        <v>15.87</v>
      </c>
      <c r="G155" s="147"/>
      <c r="H155" s="147"/>
      <c r="I155" s="14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hidden="1" customHeight="1" x14ac:dyDescent="0.3">
      <c r="A156" s="107" t="s">
        <v>111</v>
      </c>
      <c r="B156" s="104" t="s">
        <v>192</v>
      </c>
      <c r="C156" s="101"/>
      <c r="D156" s="77" t="s">
        <v>102</v>
      </c>
      <c r="E156" s="103"/>
      <c r="F156" s="111">
        <v>11.5</v>
      </c>
      <c r="G156" s="147"/>
      <c r="H156" s="147"/>
      <c r="I156" s="14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hidden="1" customHeight="1" x14ac:dyDescent="0.3">
      <c r="A157" s="107" t="s">
        <v>111</v>
      </c>
      <c r="B157" s="104" t="s">
        <v>193</v>
      </c>
      <c r="C157" s="14"/>
      <c r="D157" s="77" t="s">
        <v>102</v>
      </c>
      <c r="E157" s="94"/>
      <c r="F157" s="111">
        <v>21.9</v>
      </c>
      <c r="G157" s="147"/>
      <c r="H157" s="147"/>
      <c r="I157" s="14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hidden="1" customHeight="1" x14ac:dyDescent="0.3">
      <c r="A158" s="107" t="s">
        <v>111</v>
      </c>
      <c r="B158" s="104" t="s">
        <v>194</v>
      </c>
      <c r="C158" s="14"/>
      <c r="D158" s="114" t="s">
        <v>52</v>
      </c>
      <c r="E158" s="94"/>
      <c r="F158" s="111">
        <v>7.71</v>
      </c>
      <c r="G158" s="147"/>
      <c r="H158" s="147"/>
      <c r="I158" s="14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hidden="1" customHeight="1" x14ac:dyDescent="0.3">
      <c r="A159" s="107" t="s">
        <v>111</v>
      </c>
      <c r="B159" s="104" t="s">
        <v>195</v>
      </c>
      <c r="C159" s="14"/>
      <c r="D159" s="114" t="s">
        <v>52</v>
      </c>
      <c r="E159" s="94"/>
      <c r="F159" s="111">
        <v>4.8499999999999996</v>
      </c>
      <c r="G159" s="147"/>
      <c r="H159" s="147"/>
      <c r="I159" s="14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hidden="1" customHeight="1" x14ac:dyDescent="0.3">
      <c r="A160" s="107" t="s">
        <v>111</v>
      </c>
      <c r="B160" s="105" t="s">
        <v>196</v>
      </c>
      <c r="C160" s="14"/>
      <c r="D160" s="57" t="s">
        <v>42</v>
      </c>
      <c r="E160" s="94"/>
      <c r="F160" s="111">
        <v>5.5</v>
      </c>
      <c r="G160" s="147"/>
      <c r="H160" s="147"/>
      <c r="I160" s="14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hidden="1" customHeight="1" x14ac:dyDescent="0.3">
      <c r="A161" s="107" t="s">
        <v>111</v>
      </c>
      <c r="B161" s="104" t="s">
        <v>197</v>
      </c>
      <c r="C161" s="14"/>
      <c r="D161" s="66" t="s">
        <v>44</v>
      </c>
      <c r="E161" s="94"/>
      <c r="F161" s="111">
        <v>22.32</v>
      </c>
      <c r="G161" s="64"/>
      <c r="H161" s="147"/>
      <c r="I161" s="14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hidden="1" customHeight="1" x14ac:dyDescent="0.3">
      <c r="A162" s="107" t="s">
        <v>111</v>
      </c>
      <c r="B162" s="104" t="s">
        <v>198</v>
      </c>
      <c r="C162" s="14"/>
      <c r="D162" s="114" t="s">
        <v>174</v>
      </c>
      <c r="E162" s="94"/>
      <c r="F162" s="111">
        <v>6.25</v>
      </c>
      <c r="G162" s="147"/>
      <c r="H162" s="147"/>
      <c r="I162" s="14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hidden="1" customHeight="1" x14ac:dyDescent="0.3">
      <c r="A163" s="107" t="s">
        <v>111</v>
      </c>
      <c r="B163" s="104" t="s">
        <v>199</v>
      </c>
      <c r="C163" s="14"/>
      <c r="D163" s="114" t="s">
        <v>52</v>
      </c>
      <c r="E163" s="94"/>
      <c r="F163" s="111">
        <v>0.26</v>
      </c>
      <c r="G163" s="147"/>
      <c r="H163" s="147"/>
      <c r="I163" s="14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107"/>
      <c r="B164" s="104" t="s">
        <v>200</v>
      </c>
      <c r="C164" s="14"/>
      <c r="D164" s="114" t="s">
        <v>52</v>
      </c>
      <c r="E164" s="94"/>
      <c r="F164" s="111">
        <v>0.38</v>
      </c>
      <c r="G164" s="64"/>
      <c r="H164" s="147"/>
      <c r="I164" s="14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113"/>
      <c r="B165" s="104" t="s">
        <v>201</v>
      </c>
      <c r="C165" s="14"/>
      <c r="D165" s="114" t="s">
        <v>111</v>
      </c>
      <c r="E165" s="94"/>
      <c r="F165" s="111">
        <v>0.38</v>
      </c>
      <c r="G165" s="64"/>
      <c r="H165" s="147"/>
      <c r="I165" s="14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hidden="1" customHeight="1" x14ac:dyDescent="0.3">
      <c r="A166" s="107" t="s">
        <v>111</v>
      </c>
      <c r="B166" s="104" t="s">
        <v>202</v>
      </c>
      <c r="C166" s="14"/>
      <c r="D166" s="114" t="s">
        <v>52</v>
      </c>
      <c r="E166" s="94"/>
      <c r="F166" s="111">
        <v>0.38</v>
      </c>
      <c r="G166" s="147"/>
      <c r="H166" s="147"/>
      <c r="I166" s="14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hidden="1" customHeight="1" x14ac:dyDescent="0.3">
      <c r="A167" s="107" t="s">
        <v>111</v>
      </c>
      <c r="B167" s="132" t="s">
        <v>203</v>
      </c>
      <c r="C167" s="14"/>
      <c r="D167" s="114" t="s">
        <v>52</v>
      </c>
      <c r="E167" s="94"/>
      <c r="F167" s="111">
        <v>11.95</v>
      </c>
      <c r="G167" s="70"/>
      <c r="H167" s="147"/>
      <c r="I167" s="14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hidden="1" customHeight="1" x14ac:dyDescent="0.3">
      <c r="A168" s="107" t="s">
        <v>111</v>
      </c>
      <c r="B168" s="104" t="s">
        <v>204</v>
      </c>
      <c r="C168" s="14"/>
      <c r="D168" s="114" t="s">
        <v>52</v>
      </c>
      <c r="E168" s="94"/>
      <c r="F168" s="111">
        <v>3.35</v>
      </c>
      <c r="G168" s="147"/>
      <c r="H168" s="147"/>
      <c r="I168" s="14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hidden="1" customHeight="1" x14ac:dyDescent="0.3">
      <c r="A169" s="107" t="s">
        <v>111</v>
      </c>
      <c r="B169" s="104" t="s">
        <v>205</v>
      </c>
      <c r="C169" s="14"/>
      <c r="D169" s="66" t="s">
        <v>44</v>
      </c>
      <c r="E169" s="94"/>
      <c r="F169" s="111">
        <v>4.0999999999999996</v>
      </c>
      <c r="G169" s="147"/>
      <c r="H169" s="147"/>
      <c r="I169" s="14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hidden="1" customHeight="1" x14ac:dyDescent="0.3">
      <c r="A170" s="107" t="s">
        <v>111</v>
      </c>
      <c r="B170" s="104" t="s">
        <v>206</v>
      </c>
      <c r="C170" s="14"/>
      <c r="D170" s="57" t="s">
        <v>42</v>
      </c>
      <c r="E170" s="94"/>
      <c r="F170" s="111">
        <v>0.89</v>
      </c>
      <c r="G170" s="147"/>
      <c r="H170" s="147"/>
      <c r="I170" s="14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hidden="1" customHeight="1" x14ac:dyDescent="0.3">
      <c r="A171" s="107" t="s">
        <v>111</v>
      </c>
      <c r="B171" s="104" t="s">
        <v>207</v>
      </c>
      <c r="C171" s="14"/>
      <c r="D171" s="78" t="s">
        <v>208</v>
      </c>
      <c r="E171" s="94"/>
      <c r="F171" s="111">
        <v>4</v>
      </c>
      <c r="G171" s="70"/>
      <c r="H171" s="147"/>
      <c r="I171" s="14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hidden="1" customHeight="1" x14ac:dyDescent="0.3">
      <c r="A172" s="107" t="s">
        <v>111</v>
      </c>
      <c r="B172" s="104" t="s">
        <v>209</v>
      </c>
      <c r="C172" s="14"/>
      <c r="D172" s="114" t="s">
        <v>52</v>
      </c>
      <c r="E172" s="94"/>
      <c r="F172" s="111">
        <v>4.3</v>
      </c>
      <c r="G172" s="64"/>
      <c r="H172" s="147"/>
      <c r="I172" s="14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hidden="1" customHeight="1" x14ac:dyDescent="0.3">
      <c r="A173" s="115" t="s">
        <v>111</v>
      </c>
      <c r="B173" s="104" t="s">
        <v>210</v>
      </c>
      <c r="C173" s="14"/>
      <c r="D173" s="77" t="s">
        <v>102</v>
      </c>
      <c r="E173" s="94"/>
      <c r="F173" s="111">
        <v>2.15</v>
      </c>
      <c r="G173" s="64"/>
      <c r="H173" s="147"/>
      <c r="I173" s="14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hidden="1" customHeight="1" x14ac:dyDescent="0.3">
      <c r="A174" s="115" t="s">
        <v>111</v>
      </c>
      <c r="B174" s="104" t="s">
        <v>211</v>
      </c>
      <c r="C174" s="14"/>
      <c r="D174" s="114" t="s">
        <v>52</v>
      </c>
      <c r="E174" s="94"/>
      <c r="F174" s="111">
        <v>0.26</v>
      </c>
      <c r="G174" s="147"/>
      <c r="H174" s="64"/>
      <c r="I174" s="14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 x14ac:dyDescent="0.3">
      <c r="A175" s="107"/>
      <c r="B175" s="104" t="s">
        <v>212</v>
      </c>
      <c r="C175" s="108"/>
      <c r="D175" s="129"/>
      <c r="E175" s="94"/>
      <c r="F175" s="111">
        <v>2.19</v>
      </c>
      <c r="G175" s="147"/>
      <c r="H175" s="64"/>
      <c r="I175" s="14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hidden="1" customHeight="1" x14ac:dyDescent="0.3">
      <c r="A176" s="107" t="s">
        <v>111</v>
      </c>
      <c r="B176" s="104" t="s">
        <v>213</v>
      </c>
      <c r="C176" s="14"/>
      <c r="D176" s="66" t="s">
        <v>44</v>
      </c>
      <c r="E176" s="94"/>
      <c r="F176" s="111">
        <v>1.8</v>
      </c>
      <c r="G176" s="147"/>
      <c r="H176" s="64"/>
      <c r="I176" s="14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hidden="1" customHeight="1" x14ac:dyDescent="0.3">
      <c r="A177" s="107" t="s">
        <v>111</v>
      </c>
      <c r="B177" s="132" t="s">
        <v>214</v>
      </c>
      <c r="C177" s="14"/>
      <c r="D177" s="66" t="s">
        <v>44</v>
      </c>
      <c r="E177" s="94"/>
      <c r="F177" s="111">
        <v>5.98</v>
      </c>
      <c r="G177" s="147"/>
      <c r="H177" s="64"/>
      <c r="I177" s="14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hidden="1" customHeight="1" x14ac:dyDescent="0.3">
      <c r="A178" s="107" t="s">
        <v>111</v>
      </c>
      <c r="B178" s="104" t="s">
        <v>215</v>
      </c>
      <c r="C178" s="14"/>
      <c r="D178" s="66" t="s">
        <v>44</v>
      </c>
      <c r="E178" s="94"/>
      <c r="F178" s="111">
        <v>5.95</v>
      </c>
      <c r="G178" s="147"/>
      <c r="H178" s="64"/>
      <c r="I178" s="14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hidden="1" customHeight="1" x14ac:dyDescent="0.3">
      <c r="A179" s="107" t="s">
        <v>111</v>
      </c>
      <c r="B179" s="116" t="s">
        <v>216</v>
      </c>
      <c r="C179" s="14"/>
      <c r="D179" s="61" t="s">
        <v>72</v>
      </c>
      <c r="E179" s="94"/>
      <c r="F179" s="111">
        <v>12.16</v>
      </c>
      <c r="G179" s="147"/>
      <c r="H179" s="64"/>
      <c r="I179" s="14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hidden="1" customHeight="1" x14ac:dyDescent="0.3">
      <c r="A180" s="107" t="s">
        <v>111</v>
      </c>
      <c r="B180" s="104" t="s">
        <v>217</v>
      </c>
      <c r="C180" s="14"/>
      <c r="D180" s="114" t="s">
        <v>52</v>
      </c>
      <c r="E180" s="94"/>
      <c r="F180" s="111">
        <v>11.43</v>
      </c>
      <c r="G180" s="147"/>
      <c r="H180" s="64"/>
      <c r="I180" s="14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hidden="1" customHeight="1" x14ac:dyDescent="0.3">
      <c r="A181" s="107" t="s">
        <v>111</v>
      </c>
      <c r="B181" s="104" t="s">
        <v>218</v>
      </c>
      <c r="C181" s="108"/>
      <c r="D181" s="114" t="s">
        <v>52</v>
      </c>
      <c r="E181" s="94"/>
      <c r="F181" s="111">
        <v>3.98</v>
      </c>
      <c r="G181" s="147"/>
      <c r="H181" s="64"/>
      <c r="I181" s="14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 x14ac:dyDescent="0.3">
      <c r="A182" s="107" t="s">
        <v>219</v>
      </c>
      <c r="B182" s="104" t="s">
        <v>220</v>
      </c>
      <c r="C182" s="14"/>
      <c r="D182" s="114" t="s">
        <v>52</v>
      </c>
      <c r="E182" s="94"/>
      <c r="F182" s="111"/>
      <c r="G182" s="147"/>
      <c r="H182" s="64"/>
      <c r="I182" s="14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hidden="1" customHeight="1" x14ac:dyDescent="0.3">
      <c r="A183" s="46" t="s">
        <v>111</v>
      </c>
      <c r="B183" s="47" t="s">
        <v>221</v>
      </c>
      <c r="C183" s="14"/>
      <c r="D183" s="66" t="s">
        <v>44</v>
      </c>
      <c r="E183" s="94"/>
      <c r="F183" s="111">
        <v>2.8</v>
      </c>
      <c r="G183" s="147"/>
      <c r="H183" s="147"/>
      <c r="I183" s="14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hidden="1" customHeight="1" x14ac:dyDescent="0.3">
      <c r="A184" s="46" t="s">
        <v>111</v>
      </c>
      <c r="B184" s="47" t="s">
        <v>222</v>
      </c>
      <c r="C184" s="14"/>
      <c r="D184" s="114" t="s">
        <v>52</v>
      </c>
      <c r="E184" s="94"/>
      <c r="F184" s="111">
        <v>8.5</v>
      </c>
      <c r="G184" s="64"/>
      <c r="H184" s="64"/>
      <c r="I184" s="14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 x14ac:dyDescent="0.3">
      <c r="A185" s="46" t="s">
        <v>44</v>
      </c>
      <c r="B185" s="47" t="s">
        <v>223</v>
      </c>
      <c r="C185" s="14"/>
      <c r="D185" s="117" t="s">
        <v>176</v>
      </c>
      <c r="E185" s="94"/>
      <c r="F185" s="111">
        <v>0.84</v>
      </c>
      <c r="G185" s="147"/>
      <c r="H185" s="147"/>
      <c r="I185" s="14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 x14ac:dyDescent="0.3">
      <c r="A186" s="46" t="s">
        <v>44</v>
      </c>
      <c r="B186" s="47" t="s">
        <v>224</v>
      </c>
      <c r="C186" s="14"/>
      <c r="D186" s="117" t="s">
        <v>176</v>
      </c>
      <c r="E186" s="94"/>
      <c r="F186" s="111">
        <v>1.32</v>
      </c>
      <c r="G186" s="147"/>
      <c r="H186" s="147"/>
      <c r="I186" s="14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 x14ac:dyDescent="0.3">
      <c r="A187" s="118"/>
      <c r="B187" s="47" t="s">
        <v>225</v>
      </c>
      <c r="C187" s="14"/>
      <c r="D187" s="117" t="s">
        <v>176</v>
      </c>
      <c r="E187" s="94"/>
      <c r="F187" s="111">
        <f>'M.P CALÇOTADA'!J117</f>
        <v>2.8824000000000005</v>
      </c>
      <c r="G187" s="70"/>
      <c r="H187" s="147"/>
      <c r="I187" s="14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115" t="s">
        <v>6</v>
      </c>
      <c r="B188" s="119" t="s">
        <v>226</v>
      </c>
      <c r="C188" s="120"/>
      <c r="D188" s="117" t="s">
        <v>176</v>
      </c>
      <c r="E188" s="33"/>
      <c r="F188" s="121">
        <v>0.96</v>
      </c>
      <c r="G188" s="70"/>
      <c r="H188" s="147"/>
      <c r="I188" s="14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hidden="1" customHeight="1" x14ac:dyDescent="0.3">
      <c r="A189" s="115" t="s">
        <v>111</v>
      </c>
      <c r="B189" s="119" t="s">
        <v>227</v>
      </c>
      <c r="C189" s="120"/>
      <c r="D189" s="114" t="s">
        <v>52</v>
      </c>
      <c r="E189" s="33"/>
      <c r="F189" s="122">
        <v>4.25</v>
      </c>
      <c r="G189" s="92"/>
      <c r="H189" s="2"/>
      <c r="I189" s="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107" t="s">
        <v>6</v>
      </c>
      <c r="B190" s="47" t="s">
        <v>228</v>
      </c>
      <c r="C190" s="23"/>
      <c r="D190" s="117" t="s">
        <v>176</v>
      </c>
      <c r="E190" s="24"/>
      <c r="F190" s="111">
        <v>0.37</v>
      </c>
      <c r="G190" s="4"/>
      <c r="H190" s="2"/>
      <c r="I190" s="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 x14ac:dyDescent="0.3">
      <c r="A191" s="123" t="s">
        <v>6</v>
      </c>
      <c r="B191" s="124" t="s">
        <v>229</v>
      </c>
      <c r="C191" s="93"/>
      <c r="D191" s="117" t="s">
        <v>176</v>
      </c>
      <c r="E191" s="125"/>
      <c r="F191" s="126">
        <v>0.47</v>
      </c>
      <c r="G191" s="70"/>
      <c r="H191" s="147"/>
      <c r="I191" s="14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 x14ac:dyDescent="0.3">
      <c r="A192" s="107" t="s">
        <v>6</v>
      </c>
      <c r="B192" s="47" t="s">
        <v>230</v>
      </c>
      <c r="C192" s="95"/>
      <c r="D192" s="117" t="s">
        <v>176</v>
      </c>
      <c r="E192" s="31"/>
      <c r="F192" s="111">
        <v>0.54</v>
      </c>
      <c r="G192" s="147"/>
      <c r="H192" s="147"/>
      <c r="I192" s="14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hidden="1" customHeight="1" x14ac:dyDescent="0.3">
      <c r="A193" s="107" t="s">
        <v>111</v>
      </c>
      <c r="B193" s="47" t="s">
        <v>231</v>
      </c>
      <c r="C193" s="95"/>
      <c r="D193" s="114" t="s">
        <v>52</v>
      </c>
      <c r="E193" s="31"/>
      <c r="F193" s="111">
        <v>1.38</v>
      </c>
      <c r="G193" s="147"/>
      <c r="H193" s="147"/>
      <c r="I193" s="14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 x14ac:dyDescent="0.3">
      <c r="A194" s="107" t="s">
        <v>232</v>
      </c>
      <c r="B194" s="47" t="s">
        <v>233</v>
      </c>
      <c r="C194" s="95" t="s">
        <v>102</v>
      </c>
      <c r="D194" s="77" t="s">
        <v>102</v>
      </c>
      <c r="E194" s="31"/>
      <c r="F194" s="111">
        <v>7.41</v>
      </c>
      <c r="G194" s="70"/>
      <c r="H194" s="147"/>
      <c r="I194" s="14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 x14ac:dyDescent="0.3">
      <c r="A195" s="107" t="s">
        <v>219</v>
      </c>
      <c r="B195" s="47" t="s">
        <v>234</v>
      </c>
      <c r="C195" s="127" t="s">
        <v>187</v>
      </c>
      <c r="D195" s="57" t="s">
        <v>42</v>
      </c>
      <c r="E195" s="31"/>
      <c r="F195" s="111">
        <v>5.5</v>
      </c>
      <c r="G195" s="147"/>
      <c r="H195" s="147"/>
      <c r="I195" s="14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 x14ac:dyDescent="0.3">
      <c r="A196" s="107" t="s">
        <v>219</v>
      </c>
      <c r="B196" s="128" t="s">
        <v>235</v>
      </c>
      <c r="C196" s="95"/>
      <c r="D196" s="57" t="s">
        <v>42</v>
      </c>
      <c r="E196" s="31"/>
      <c r="F196" s="111">
        <v>8.99</v>
      </c>
      <c r="G196" s="147"/>
      <c r="H196" s="147"/>
      <c r="I196" s="14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 x14ac:dyDescent="0.3">
      <c r="A197" s="107" t="s">
        <v>219</v>
      </c>
      <c r="B197" s="32" t="s">
        <v>236</v>
      </c>
      <c r="C197" s="95"/>
      <c r="D197" s="57" t="s">
        <v>42</v>
      </c>
      <c r="E197" s="31"/>
      <c r="F197" s="111">
        <v>3.67</v>
      </c>
      <c r="G197" s="147"/>
      <c r="H197" s="147"/>
      <c r="I197" s="14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 x14ac:dyDescent="0.3">
      <c r="A198" s="107" t="s">
        <v>219</v>
      </c>
      <c r="B198" s="47" t="s">
        <v>237</v>
      </c>
      <c r="C198" s="95"/>
      <c r="D198" s="77" t="s">
        <v>102</v>
      </c>
      <c r="E198" s="31"/>
      <c r="F198" s="111">
        <v>3.02</v>
      </c>
      <c r="G198" s="147"/>
      <c r="H198" s="147"/>
      <c r="I198" s="14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107" t="s">
        <v>219</v>
      </c>
      <c r="B199" s="47" t="s">
        <v>238</v>
      </c>
      <c r="C199" s="95"/>
      <c r="D199" s="66" t="s">
        <v>44</v>
      </c>
      <c r="E199" s="31"/>
      <c r="F199" s="111">
        <v>0.96</v>
      </c>
      <c r="G199" s="147"/>
      <c r="H199" s="147"/>
      <c r="I199" s="14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107" t="s">
        <v>219</v>
      </c>
      <c r="B200" s="47" t="s">
        <v>239</v>
      </c>
      <c r="C200" s="95"/>
      <c r="D200" s="66" t="s">
        <v>44</v>
      </c>
      <c r="E200" s="31"/>
      <c r="F200" s="111">
        <v>5.74</v>
      </c>
      <c r="G200" s="147"/>
      <c r="H200" s="64"/>
      <c r="I200" s="14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customHeight="1" x14ac:dyDescent="0.3">
      <c r="A201" s="107"/>
      <c r="B201" s="47" t="s">
        <v>240</v>
      </c>
      <c r="C201" s="95"/>
      <c r="D201" s="129"/>
      <c r="E201" s="31"/>
      <c r="F201" s="111">
        <v>16.72</v>
      </c>
      <c r="G201" s="147"/>
      <c r="H201" s="147"/>
      <c r="I201" s="14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customHeight="1" x14ac:dyDescent="0.3">
      <c r="A202" s="107" t="s">
        <v>219</v>
      </c>
      <c r="B202" s="47" t="s">
        <v>241</v>
      </c>
      <c r="C202" s="127" t="s">
        <v>187</v>
      </c>
      <c r="D202" s="57" t="s">
        <v>42</v>
      </c>
      <c r="E202" s="31"/>
      <c r="F202" s="111">
        <v>1.05</v>
      </c>
      <c r="G202" s="147"/>
      <c r="H202" s="147"/>
      <c r="I202" s="14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customHeight="1" x14ac:dyDescent="0.3">
      <c r="A203" s="107" t="s">
        <v>44</v>
      </c>
      <c r="B203" s="47" t="s">
        <v>242</v>
      </c>
      <c r="C203" s="95"/>
      <c r="D203" s="137" t="s">
        <v>168</v>
      </c>
      <c r="E203" s="31"/>
      <c r="F203" s="111">
        <v>1.85</v>
      </c>
      <c r="G203" s="70"/>
      <c r="H203" s="147"/>
      <c r="I203" s="14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customHeight="1" x14ac:dyDescent="0.3">
      <c r="A204" s="107" t="s">
        <v>44</v>
      </c>
      <c r="B204" s="47" t="s">
        <v>243</v>
      </c>
      <c r="C204" s="95"/>
      <c r="D204" s="114" t="s">
        <v>52</v>
      </c>
      <c r="E204" s="31"/>
      <c r="F204" s="111">
        <v>3.15</v>
      </c>
      <c r="G204" s="147"/>
      <c r="H204" s="147"/>
      <c r="I204" s="14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customHeight="1" x14ac:dyDescent="0.3">
      <c r="A205" s="107"/>
      <c r="B205" s="47" t="s">
        <v>243</v>
      </c>
      <c r="C205" s="95"/>
      <c r="D205" s="114" t="s">
        <v>52</v>
      </c>
      <c r="E205" s="31"/>
      <c r="F205" s="111">
        <v>4.09</v>
      </c>
      <c r="G205" s="147"/>
      <c r="H205" s="147"/>
      <c r="I205" s="14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customHeight="1" x14ac:dyDescent="0.3">
      <c r="A206" s="107" t="s">
        <v>6</v>
      </c>
      <c r="B206" s="47" t="s">
        <v>244</v>
      </c>
      <c r="C206" s="95"/>
      <c r="D206" s="137" t="s">
        <v>168</v>
      </c>
      <c r="E206" s="31"/>
      <c r="F206" s="111">
        <v>5.54</v>
      </c>
      <c r="G206" s="147"/>
      <c r="H206" s="147"/>
      <c r="I206" s="14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customHeight="1" x14ac:dyDescent="0.3">
      <c r="A207" s="107" t="s">
        <v>6</v>
      </c>
      <c r="B207" s="47" t="s">
        <v>245</v>
      </c>
      <c r="C207" s="95"/>
      <c r="D207" s="114" t="s">
        <v>52</v>
      </c>
      <c r="E207" s="31"/>
      <c r="F207" s="111">
        <v>4.6900000000000004</v>
      </c>
      <c r="G207" s="147"/>
      <c r="H207" s="147"/>
      <c r="I207" s="14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customHeight="1" x14ac:dyDescent="0.3">
      <c r="A208" s="107" t="s">
        <v>6</v>
      </c>
      <c r="B208" s="47" t="s">
        <v>246</v>
      </c>
      <c r="C208" s="95"/>
      <c r="D208" s="114" t="s">
        <v>52</v>
      </c>
      <c r="E208" s="31"/>
      <c r="F208" s="111">
        <v>2.4900000000000002</v>
      </c>
      <c r="G208" s="147"/>
      <c r="H208" s="147"/>
      <c r="I208" s="14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customHeight="1" x14ac:dyDescent="0.3">
      <c r="A209" s="107"/>
      <c r="B209" s="47" t="s">
        <v>247</v>
      </c>
      <c r="C209" s="95"/>
      <c r="D209" s="114" t="s">
        <v>52</v>
      </c>
      <c r="E209" s="31"/>
      <c r="F209" s="111">
        <v>4.0999999999999996</v>
      </c>
      <c r="G209" s="147"/>
      <c r="H209" s="147"/>
      <c r="I209" s="14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customHeight="1" x14ac:dyDescent="0.3">
      <c r="A210" s="107" t="s">
        <v>6</v>
      </c>
      <c r="B210" s="47" t="s">
        <v>248</v>
      </c>
      <c r="C210" s="95"/>
      <c r="D210" s="57" t="s">
        <v>42</v>
      </c>
      <c r="E210" s="31"/>
      <c r="F210" s="111">
        <v>3.98</v>
      </c>
      <c r="G210" s="147"/>
      <c r="H210" s="147"/>
      <c r="I210" s="14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107" t="s">
        <v>6</v>
      </c>
      <c r="B211" s="47" t="s">
        <v>249</v>
      </c>
      <c r="C211" s="95"/>
      <c r="D211" s="74" t="s">
        <v>250</v>
      </c>
      <c r="E211" s="31"/>
      <c r="F211" s="111">
        <v>2.39</v>
      </c>
      <c r="G211" s="147"/>
      <c r="H211" s="147"/>
      <c r="I211" s="14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customHeight="1" x14ac:dyDescent="0.3">
      <c r="A212" s="107" t="s">
        <v>6</v>
      </c>
      <c r="B212" s="47" t="s">
        <v>251</v>
      </c>
      <c r="C212" s="95"/>
      <c r="D212" s="74" t="s">
        <v>250</v>
      </c>
      <c r="E212" s="31"/>
      <c r="F212" s="111">
        <v>5.62</v>
      </c>
      <c r="G212" s="147"/>
      <c r="H212" s="147"/>
      <c r="I212" s="14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customHeight="1" x14ac:dyDescent="0.3">
      <c r="A213" s="107" t="s">
        <v>6</v>
      </c>
      <c r="B213" s="128" t="s">
        <v>252</v>
      </c>
      <c r="C213" s="95"/>
      <c r="D213" s="57" t="s">
        <v>42</v>
      </c>
      <c r="E213" s="31"/>
      <c r="F213" s="111">
        <v>28.95</v>
      </c>
      <c r="G213" s="147"/>
      <c r="H213" s="147"/>
      <c r="I213" s="14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107" t="s">
        <v>6</v>
      </c>
      <c r="B214" s="47" t="s">
        <v>253</v>
      </c>
      <c r="C214" s="95"/>
      <c r="D214" s="57" t="s">
        <v>42</v>
      </c>
      <c r="E214" s="31"/>
      <c r="F214" s="111">
        <v>0.2</v>
      </c>
      <c r="G214" s="147"/>
      <c r="H214" s="147"/>
      <c r="I214" s="14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107" t="s">
        <v>6</v>
      </c>
      <c r="B215" s="47" t="s">
        <v>254</v>
      </c>
      <c r="C215" s="95"/>
      <c r="D215" s="114" t="s">
        <v>52</v>
      </c>
      <c r="E215" s="31"/>
      <c r="F215" s="111">
        <v>2.8</v>
      </c>
      <c r="G215" s="147"/>
      <c r="H215" s="147"/>
      <c r="I215" s="14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107"/>
      <c r="B216" s="47" t="s">
        <v>255</v>
      </c>
      <c r="C216" s="95"/>
      <c r="D216" s="129" t="s">
        <v>82</v>
      </c>
      <c r="E216" s="31"/>
      <c r="F216" s="130">
        <v>0.82</v>
      </c>
      <c r="G216" s="147"/>
      <c r="H216" s="147"/>
      <c r="I216" s="14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customHeight="1" x14ac:dyDescent="0.3">
      <c r="A217" s="107" t="s">
        <v>6</v>
      </c>
      <c r="B217" s="47" t="s">
        <v>256</v>
      </c>
      <c r="C217" s="95"/>
      <c r="D217" s="114" t="s">
        <v>52</v>
      </c>
      <c r="E217" s="31"/>
      <c r="F217" s="111">
        <v>21.5</v>
      </c>
      <c r="G217" s="70"/>
      <c r="H217" s="147"/>
      <c r="I217" s="14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customHeight="1" x14ac:dyDescent="0.3">
      <c r="A218" s="107" t="s">
        <v>6</v>
      </c>
      <c r="B218" s="47" t="s">
        <v>257</v>
      </c>
      <c r="C218" s="95"/>
      <c r="D218" s="114" t="s">
        <v>52</v>
      </c>
      <c r="E218" s="31"/>
      <c r="F218" s="111">
        <v>17.55</v>
      </c>
      <c r="G218" s="147"/>
      <c r="H218" s="147"/>
      <c r="I218" s="14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customHeight="1" x14ac:dyDescent="0.3">
      <c r="A219" s="107" t="s">
        <v>6</v>
      </c>
      <c r="B219" s="47" t="s">
        <v>258</v>
      </c>
      <c r="C219" s="95"/>
      <c r="D219" s="66" t="s">
        <v>44</v>
      </c>
      <c r="E219" s="31"/>
      <c r="F219" s="111">
        <v>1.3</v>
      </c>
      <c r="G219" s="147"/>
      <c r="H219" s="147"/>
      <c r="I219" s="14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customHeight="1" x14ac:dyDescent="0.3">
      <c r="A220" s="107" t="s">
        <v>6</v>
      </c>
      <c r="B220" s="47" t="s">
        <v>259</v>
      </c>
      <c r="C220" s="2"/>
      <c r="D220" s="66" t="s">
        <v>44</v>
      </c>
      <c r="E220" s="31"/>
      <c r="F220" s="111">
        <v>0.6</v>
      </c>
      <c r="G220" s="70"/>
      <c r="H220" s="147"/>
      <c r="I220" s="14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customHeight="1" x14ac:dyDescent="0.3">
      <c r="A221" s="107" t="s">
        <v>6</v>
      </c>
      <c r="B221" s="47" t="s">
        <v>260</v>
      </c>
      <c r="C221" s="95"/>
      <c r="D221" s="66" t="s">
        <v>44</v>
      </c>
      <c r="E221" s="31"/>
      <c r="F221" s="111">
        <v>0.46</v>
      </c>
      <c r="G221" s="147"/>
      <c r="H221" s="147"/>
      <c r="I221" s="14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customHeight="1" x14ac:dyDescent="0.3">
      <c r="A222" s="107" t="s">
        <v>6</v>
      </c>
      <c r="B222" s="47" t="s">
        <v>261</v>
      </c>
      <c r="C222" s="2"/>
      <c r="D222" s="66" t="s">
        <v>44</v>
      </c>
      <c r="E222" s="31"/>
      <c r="F222" s="111">
        <v>2.25</v>
      </c>
      <c r="G222" s="70"/>
      <c r="H222" s="147"/>
      <c r="I222" s="14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customHeight="1" x14ac:dyDescent="0.3">
      <c r="A223" s="107" t="s">
        <v>6</v>
      </c>
      <c r="B223" s="128" t="s">
        <v>262</v>
      </c>
      <c r="C223" s="95"/>
      <c r="D223" s="57" t="s">
        <v>42</v>
      </c>
      <c r="E223" s="31"/>
      <c r="F223" s="111">
        <v>8.5</v>
      </c>
      <c r="G223" s="147"/>
      <c r="H223" s="147"/>
      <c r="I223" s="14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customHeight="1" x14ac:dyDescent="0.3">
      <c r="A224" s="107" t="s">
        <v>6</v>
      </c>
      <c r="B224" s="131" t="s">
        <v>263</v>
      </c>
      <c r="C224" s="95"/>
      <c r="D224" s="57" t="s">
        <v>42</v>
      </c>
      <c r="E224" s="31"/>
      <c r="F224" s="111">
        <v>6.46</v>
      </c>
      <c r="G224" s="147"/>
      <c r="H224" s="147"/>
      <c r="I224" s="14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customHeight="1" x14ac:dyDescent="0.3">
      <c r="A225" s="115" t="s">
        <v>6</v>
      </c>
      <c r="B225" s="128" t="s">
        <v>264</v>
      </c>
      <c r="C225" s="95"/>
      <c r="D225" s="57" t="s">
        <v>42</v>
      </c>
      <c r="E225" s="31"/>
      <c r="F225" s="111">
        <v>13</v>
      </c>
      <c r="G225" s="70"/>
      <c r="H225" s="147"/>
      <c r="I225" s="14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customHeight="1" x14ac:dyDescent="0.3">
      <c r="A226" s="115" t="s">
        <v>6</v>
      </c>
      <c r="B226" s="47" t="s">
        <v>265</v>
      </c>
      <c r="C226" s="95"/>
      <c r="D226" s="57" t="s">
        <v>42</v>
      </c>
      <c r="E226" s="31"/>
      <c r="F226" s="111">
        <v>9</v>
      </c>
      <c r="G226" s="70"/>
      <c r="H226" s="147"/>
      <c r="I226" s="14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customHeight="1" x14ac:dyDescent="0.3">
      <c r="A227" s="107" t="s">
        <v>6</v>
      </c>
      <c r="B227" s="104" t="s">
        <v>266</v>
      </c>
      <c r="C227" s="95"/>
      <c r="D227" s="114" t="s">
        <v>52</v>
      </c>
      <c r="E227" s="31"/>
      <c r="F227" s="111">
        <v>3.2</v>
      </c>
      <c r="G227" s="147"/>
      <c r="H227" s="147"/>
      <c r="I227" s="14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customHeight="1" x14ac:dyDescent="0.3">
      <c r="A228" s="107" t="s">
        <v>6</v>
      </c>
      <c r="B228" s="104" t="s">
        <v>267</v>
      </c>
      <c r="C228" s="95"/>
      <c r="D228" s="61" t="s">
        <v>72</v>
      </c>
      <c r="E228" s="31"/>
      <c r="F228" s="111">
        <v>15.8</v>
      </c>
      <c r="G228" s="147"/>
      <c r="H228" s="147"/>
      <c r="I228" s="14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customHeight="1" x14ac:dyDescent="0.3">
      <c r="A229" s="107"/>
      <c r="B229" s="132" t="s">
        <v>268</v>
      </c>
      <c r="C229" s="95"/>
      <c r="D229" s="61" t="s">
        <v>72</v>
      </c>
      <c r="E229" s="31"/>
      <c r="F229" s="111">
        <v>7.6</v>
      </c>
      <c r="G229" s="147"/>
      <c r="H229" s="147"/>
      <c r="I229" s="14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customHeight="1" x14ac:dyDescent="0.3">
      <c r="A230" s="107"/>
      <c r="B230" s="104" t="s">
        <v>269</v>
      </c>
      <c r="C230" s="95"/>
      <c r="D230" s="129"/>
      <c r="E230" s="31"/>
      <c r="F230" s="111">
        <v>17.05</v>
      </c>
      <c r="G230" s="70"/>
      <c r="H230" s="147"/>
      <c r="I230" s="14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customHeight="1" x14ac:dyDescent="0.3">
      <c r="A231" s="133" t="s">
        <v>6</v>
      </c>
      <c r="B231" s="47" t="s">
        <v>270</v>
      </c>
      <c r="C231" s="95"/>
      <c r="D231" s="74" t="s">
        <v>91</v>
      </c>
      <c r="E231" s="31"/>
      <c r="F231" s="111">
        <v>2.9</v>
      </c>
      <c r="G231" s="147"/>
      <c r="H231" s="147"/>
      <c r="I231" s="14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3"/>
      <c r="B232" s="47" t="s">
        <v>271</v>
      </c>
      <c r="C232" s="95"/>
      <c r="D232" s="129"/>
      <c r="E232" s="31"/>
      <c r="F232" s="111">
        <v>5.5</v>
      </c>
      <c r="G232" s="147"/>
      <c r="H232" s="147"/>
      <c r="I232" s="14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customHeight="1" x14ac:dyDescent="0.3">
      <c r="A233" s="43" t="s">
        <v>6</v>
      </c>
      <c r="B233" s="47" t="s">
        <v>272</v>
      </c>
      <c r="C233" s="95"/>
      <c r="D233" s="134" t="s">
        <v>273</v>
      </c>
      <c r="E233" s="31"/>
      <c r="F233" s="111">
        <v>2.85</v>
      </c>
      <c r="G233" s="147"/>
      <c r="H233" s="147"/>
      <c r="I233" s="14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customHeight="1" x14ac:dyDescent="0.3">
      <c r="A234" s="43"/>
      <c r="B234" s="47" t="s">
        <v>274</v>
      </c>
      <c r="C234" s="95"/>
      <c r="D234" s="129" t="s">
        <v>82</v>
      </c>
      <c r="E234" s="31"/>
      <c r="F234" s="111">
        <v>3.85</v>
      </c>
      <c r="G234" s="147"/>
      <c r="H234" s="147"/>
      <c r="I234" s="14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customHeight="1" x14ac:dyDescent="0.3">
      <c r="A235" s="43" t="s">
        <v>6</v>
      </c>
      <c r="B235" s="47" t="s">
        <v>275</v>
      </c>
      <c r="C235" s="95"/>
      <c r="D235" s="74" t="s">
        <v>91</v>
      </c>
      <c r="E235" s="31"/>
      <c r="F235" s="111">
        <v>2.5</v>
      </c>
      <c r="G235" s="147"/>
      <c r="H235" s="147"/>
      <c r="I235" s="14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customHeight="1" x14ac:dyDescent="0.3">
      <c r="A236" s="43" t="s">
        <v>6</v>
      </c>
      <c r="B236" s="47" t="s">
        <v>276</v>
      </c>
      <c r="C236" s="95"/>
      <c r="D236" s="57" t="s">
        <v>277</v>
      </c>
      <c r="E236" s="31"/>
      <c r="F236" s="111">
        <v>1.65</v>
      </c>
      <c r="G236" s="70"/>
      <c r="H236" s="147"/>
      <c r="I236" s="14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customHeight="1" x14ac:dyDescent="0.3">
      <c r="A237" s="43" t="s">
        <v>6</v>
      </c>
      <c r="B237" s="47" t="s">
        <v>278</v>
      </c>
      <c r="C237" s="95"/>
      <c r="D237" s="117" t="s">
        <v>176</v>
      </c>
      <c r="E237" s="31"/>
      <c r="F237" s="111">
        <v>4.45</v>
      </c>
      <c r="G237" s="70"/>
      <c r="H237" s="147"/>
      <c r="I237" s="14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customHeight="1" x14ac:dyDescent="0.3">
      <c r="A238" s="43" t="s">
        <v>6</v>
      </c>
      <c r="B238" s="47" t="s">
        <v>279</v>
      </c>
      <c r="C238" s="135"/>
      <c r="D238" s="117" t="s">
        <v>176</v>
      </c>
      <c r="E238" s="31"/>
      <c r="F238" s="111">
        <v>2.33</v>
      </c>
      <c r="G238" s="70"/>
      <c r="H238" s="147"/>
      <c r="I238" s="14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customHeight="1" x14ac:dyDescent="0.3">
      <c r="A239" s="43" t="s">
        <v>6</v>
      </c>
      <c r="B239" s="47" t="s">
        <v>280</v>
      </c>
      <c r="C239" s="95"/>
      <c r="D239" s="114" t="s">
        <v>52</v>
      </c>
      <c r="E239" s="31"/>
      <c r="F239" s="111">
        <v>2</v>
      </c>
      <c r="G239" s="70"/>
      <c r="H239" s="147"/>
      <c r="I239" s="14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customHeight="1" x14ac:dyDescent="0.3">
      <c r="A240" s="43" t="s">
        <v>6</v>
      </c>
      <c r="B240" s="47" t="s">
        <v>281</v>
      </c>
      <c r="C240" s="135"/>
      <c r="D240" s="117" t="s">
        <v>176</v>
      </c>
      <c r="E240" s="31"/>
      <c r="F240" s="111">
        <v>5.27</v>
      </c>
      <c r="G240" s="70"/>
      <c r="H240" s="147"/>
      <c r="I240" s="14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customHeight="1" x14ac:dyDescent="0.3">
      <c r="A241" s="43" t="s">
        <v>6</v>
      </c>
      <c r="B241" s="47" t="s">
        <v>282</v>
      </c>
      <c r="C241" s="95"/>
      <c r="D241" s="114" t="s">
        <v>52</v>
      </c>
      <c r="E241" s="31"/>
      <c r="F241" s="111">
        <v>19.86</v>
      </c>
      <c r="G241" s="147"/>
      <c r="H241" s="147"/>
      <c r="I241" s="14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3" t="s">
        <v>6</v>
      </c>
      <c r="B242" s="47" t="s">
        <v>283</v>
      </c>
      <c r="C242" s="95"/>
      <c r="D242" s="114" t="s">
        <v>52</v>
      </c>
      <c r="E242" s="31"/>
      <c r="F242" s="111">
        <v>21.85</v>
      </c>
      <c r="G242" s="147"/>
      <c r="H242" s="147"/>
      <c r="I242" s="14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customHeight="1" x14ac:dyDescent="0.3">
      <c r="A243" s="43" t="s">
        <v>6</v>
      </c>
      <c r="B243" s="47" t="s">
        <v>284</v>
      </c>
      <c r="C243" s="95"/>
      <c r="D243" s="129"/>
      <c r="E243" s="31"/>
      <c r="F243" s="111">
        <v>23.71</v>
      </c>
      <c r="G243" s="147"/>
      <c r="H243" s="147"/>
      <c r="I243" s="14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customHeight="1" x14ac:dyDescent="0.3">
      <c r="A244" s="43"/>
      <c r="B244" s="47" t="s">
        <v>285</v>
      </c>
      <c r="C244" s="136"/>
      <c r="D244" s="129" t="s">
        <v>82</v>
      </c>
      <c r="E244" s="31"/>
      <c r="F244" s="111">
        <v>17.29</v>
      </c>
      <c r="G244" s="70"/>
      <c r="H244" s="147"/>
      <c r="I244" s="14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customHeight="1" x14ac:dyDescent="0.3">
      <c r="A245" s="43" t="s">
        <v>6</v>
      </c>
      <c r="B245" s="47" t="s">
        <v>286</v>
      </c>
      <c r="C245" s="95"/>
      <c r="D245" s="137" t="s">
        <v>168</v>
      </c>
      <c r="E245" s="31"/>
      <c r="F245" s="111">
        <v>26.46</v>
      </c>
      <c r="G245" s="147"/>
      <c r="H245" s="147"/>
      <c r="I245" s="14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customHeight="1" x14ac:dyDescent="0.3">
      <c r="A246" s="43" t="s">
        <v>287</v>
      </c>
      <c r="B246" s="47" t="s">
        <v>288</v>
      </c>
      <c r="C246" s="95"/>
      <c r="D246" s="129"/>
      <c r="E246" s="31"/>
      <c r="F246" s="111">
        <v>6.95</v>
      </c>
      <c r="G246" s="147"/>
      <c r="H246" s="147"/>
      <c r="I246" s="14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customHeight="1" x14ac:dyDescent="0.3">
      <c r="A247" s="43"/>
      <c r="B247" s="47" t="s">
        <v>289</v>
      </c>
      <c r="C247" s="95"/>
      <c r="D247" s="129"/>
      <c r="E247" s="31"/>
      <c r="F247" s="111">
        <v>16.95</v>
      </c>
      <c r="G247" s="70"/>
      <c r="H247" s="147"/>
      <c r="I247" s="14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3"/>
      <c r="B248" s="47" t="s">
        <v>290</v>
      </c>
      <c r="C248" s="95"/>
      <c r="D248" s="129"/>
      <c r="E248" s="31"/>
      <c r="F248" s="111">
        <v>0.35</v>
      </c>
      <c r="G248" s="147"/>
      <c r="H248" s="147"/>
      <c r="I248" s="14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3"/>
      <c r="B249" s="32" t="s">
        <v>291</v>
      </c>
      <c r="C249" s="95"/>
      <c r="D249" s="57" t="s">
        <v>42</v>
      </c>
      <c r="E249" s="31"/>
      <c r="F249" s="111">
        <v>23</v>
      </c>
      <c r="G249" s="147"/>
      <c r="H249" s="147"/>
      <c r="I249" s="14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customHeight="1" x14ac:dyDescent="0.3">
      <c r="A250" s="43"/>
      <c r="B250" s="47" t="s">
        <v>292</v>
      </c>
      <c r="C250" s="95"/>
      <c r="D250" s="57" t="s">
        <v>42</v>
      </c>
      <c r="E250" s="31"/>
      <c r="F250" s="111">
        <v>0.03</v>
      </c>
      <c r="G250" s="147"/>
      <c r="H250" s="147"/>
      <c r="I250" s="14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customHeight="1" x14ac:dyDescent="0.3">
      <c r="A251" s="43"/>
      <c r="B251" s="47" t="s">
        <v>293</v>
      </c>
      <c r="C251" s="95"/>
      <c r="D251" s="114" t="s">
        <v>52</v>
      </c>
      <c r="E251" s="31"/>
      <c r="F251" s="111">
        <v>0.4</v>
      </c>
      <c r="G251" s="147"/>
      <c r="H251" s="147"/>
      <c r="I251" s="14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customHeight="1" x14ac:dyDescent="0.3">
      <c r="A252" s="43"/>
      <c r="B252" s="47" t="s">
        <v>294</v>
      </c>
      <c r="C252" s="95"/>
      <c r="D252" s="57" t="s">
        <v>42</v>
      </c>
      <c r="E252" s="31"/>
      <c r="F252" s="111">
        <v>14.63</v>
      </c>
      <c r="G252" s="147"/>
      <c r="H252" s="147"/>
      <c r="I252" s="14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customHeight="1" x14ac:dyDescent="0.3">
      <c r="A253" s="43"/>
      <c r="B253" s="47" t="s">
        <v>295</v>
      </c>
      <c r="C253" s="95"/>
      <c r="D253" s="114" t="s">
        <v>52</v>
      </c>
      <c r="E253" s="31"/>
      <c r="F253" s="111">
        <v>6.9</v>
      </c>
      <c r="G253" s="70"/>
      <c r="H253" s="147"/>
      <c r="I253" s="14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3"/>
      <c r="B254" s="47" t="s">
        <v>296</v>
      </c>
      <c r="C254" s="95"/>
      <c r="D254" s="114" t="s">
        <v>52</v>
      </c>
      <c r="E254" s="31"/>
      <c r="F254" s="111">
        <v>15.25</v>
      </c>
      <c r="G254" s="64"/>
      <c r="H254" s="147"/>
      <c r="I254" s="14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3"/>
      <c r="B255" s="47" t="s">
        <v>297</v>
      </c>
      <c r="C255" s="95"/>
      <c r="D255" s="114" t="s">
        <v>52</v>
      </c>
      <c r="E255" s="31"/>
      <c r="F255" s="111">
        <v>5.7</v>
      </c>
      <c r="G255" s="64"/>
      <c r="H255" s="147"/>
      <c r="I255" s="14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customHeight="1" x14ac:dyDescent="0.3">
      <c r="A256" s="43"/>
      <c r="B256" s="47" t="s">
        <v>298</v>
      </c>
      <c r="C256" s="2"/>
      <c r="D256" s="77" t="s">
        <v>102</v>
      </c>
      <c r="E256" s="31"/>
      <c r="F256" s="111">
        <v>15.88</v>
      </c>
      <c r="G256" s="147"/>
      <c r="H256" s="147"/>
      <c r="I256" s="14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customHeight="1" x14ac:dyDescent="0.3">
      <c r="A257" s="43"/>
      <c r="B257" s="47" t="s">
        <v>299</v>
      </c>
      <c r="C257" s="95"/>
      <c r="D257" s="77" t="s">
        <v>102</v>
      </c>
      <c r="E257" s="31"/>
      <c r="F257" s="111">
        <v>2.88</v>
      </c>
      <c r="G257" s="147"/>
      <c r="H257" s="147"/>
      <c r="I257" s="14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customHeight="1" x14ac:dyDescent="0.3">
      <c r="A258" s="43"/>
      <c r="B258" s="47" t="s">
        <v>300</v>
      </c>
      <c r="C258" s="95"/>
      <c r="D258" s="57" t="s">
        <v>42</v>
      </c>
      <c r="E258" s="31"/>
      <c r="F258" s="111">
        <v>7.84</v>
      </c>
      <c r="G258" s="147"/>
      <c r="H258" s="147"/>
      <c r="I258" s="14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customHeight="1" x14ac:dyDescent="0.3">
      <c r="A259" s="43"/>
      <c r="B259" s="47" t="s">
        <v>301</v>
      </c>
      <c r="C259" s="95"/>
      <c r="D259" s="114" t="s">
        <v>52</v>
      </c>
      <c r="E259" s="31"/>
      <c r="F259" s="111">
        <v>11.77</v>
      </c>
      <c r="G259" s="147"/>
      <c r="H259" s="147"/>
      <c r="I259" s="14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customHeight="1" x14ac:dyDescent="0.3">
      <c r="A260" s="43"/>
      <c r="B260" s="47" t="s">
        <v>302</v>
      </c>
      <c r="C260" s="95"/>
      <c r="D260" s="137" t="s">
        <v>303</v>
      </c>
      <c r="E260" s="31"/>
      <c r="F260" s="111">
        <v>9.5</v>
      </c>
      <c r="G260" s="147"/>
      <c r="H260" s="147"/>
      <c r="I260" s="14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customHeight="1" x14ac:dyDescent="0.3">
      <c r="A261" s="43"/>
      <c r="B261" s="47" t="s">
        <v>304</v>
      </c>
      <c r="C261" s="95"/>
      <c r="D261" s="129"/>
      <c r="E261" s="31"/>
      <c r="F261" s="111">
        <v>19.899999999999999</v>
      </c>
      <c r="G261" s="147"/>
      <c r="H261" s="147"/>
      <c r="I261" s="14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customHeight="1" x14ac:dyDescent="0.3">
      <c r="A262" s="43"/>
      <c r="B262" s="47" t="s">
        <v>305</v>
      </c>
      <c r="C262" s="135"/>
      <c r="D262" s="61" t="s">
        <v>72</v>
      </c>
      <c r="E262" s="31"/>
      <c r="F262" s="111">
        <v>0.03</v>
      </c>
      <c r="G262" s="70"/>
      <c r="H262" s="147"/>
      <c r="I262" s="14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customHeight="1" x14ac:dyDescent="0.3">
      <c r="A263" s="43"/>
      <c r="B263" s="47" t="s">
        <v>306</v>
      </c>
      <c r="C263" s="95"/>
      <c r="D263" s="61" t="s">
        <v>72</v>
      </c>
      <c r="E263" s="31"/>
      <c r="F263" s="111">
        <v>2.95</v>
      </c>
      <c r="G263" s="147"/>
      <c r="H263" s="147"/>
      <c r="I263" s="14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customHeight="1" x14ac:dyDescent="0.3">
      <c r="A264" s="43"/>
      <c r="B264" s="47" t="s">
        <v>307</v>
      </c>
      <c r="C264" s="95"/>
      <c r="D264" s="61" t="s">
        <v>72</v>
      </c>
      <c r="E264" s="31"/>
      <c r="F264" s="111">
        <v>0.01</v>
      </c>
      <c r="G264" s="147"/>
      <c r="H264" s="147"/>
      <c r="I264" s="14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customHeight="1" x14ac:dyDescent="0.3">
      <c r="A265" s="43"/>
      <c r="B265" s="47" t="s">
        <v>308</v>
      </c>
      <c r="C265" s="127" t="s">
        <v>187</v>
      </c>
      <c r="D265" s="61" t="s">
        <v>72</v>
      </c>
      <c r="E265" s="31"/>
      <c r="F265" s="111">
        <v>524.1</v>
      </c>
      <c r="G265" s="147"/>
      <c r="H265" s="147"/>
      <c r="I265" s="14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customHeight="1" x14ac:dyDescent="0.3">
      <c r="A266" s="43"/>
      <c r="B266" s="47" t="s">
        <v>309</v>
      </c>
      <c r="C266" s="95"/>
      <c r="D266" s="61" t="s">
        <v>72</v>
      </c>
      <c r="E266" s="31"/>
      <c r="F266" s="111">
        <v>15.75</v>
      </c>
      <c r="G266" s="147"/>
      <c r="H266" s="147"/>
      <c r="I266" s="14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customHeight="1" x14ac:dyDescent="0.3">
      <c r="A267" s="43"/>
      <c r="B267" s="47" t="s">
        <v>310</v>
      </c>
      <c r="C267" s="95"/>
      <c r="D267" s="77" t="s">
        <v>102</v>
      </c>
      <c r="E267" s="31"/>
      <c r="F267" s="111">
        <v>0.44</v>
      </c>
      <c r="G267" s="147"/>
      <c r="H267" s="147"/>
      <c r="I267" s="14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customHeight="1" x14ac:dyDescent="0.3">
      <c r="A268" s="43"/>
      <c r="B268" s="47" t="s">
        <v>311</v>
      </c>
      <c r="C268" s="95"/>
      <c r="D268" s="110" t="s">
        <v>174</v>
      </c>
      <c r="E268" s="31"/>
      <c r="F268" s="111">
        <v>31.95</v>
      </c>
      <c r="G268" s="147"/>
      <c r="H268" s="147"/>
      <c r="I268" s="14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customHeight="1" x14ac:dyDescent="0.3">
      <c r="A269" s="43"/>
      <c r="B269" s="47" t="s">
        <v>312</v>
      </c>
      <c r="C269" s="95"/>
      <c r="D269" s="114" t="s">
        <v>52</v>
      </c>
      <c r="E269" s="31"/>
      <c r="F269" s="111">
        <v>0.87</v>
      </c>
      <c r="G269" s="147"/>
      <c r="H269" s="64"/>
      <c r="I269" s="14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customHeight="1" x14ac:dyDescent="0.3">
      <c r="A270" s="43"/>
      <c r="B270" s="47" t="s">
        <v>313</v>
      </c>
      <c r="C270" s="2"/>
      <c r="D270" s="114" t="s">
        <v>52</v>
      </c>
      <c r="E270" s="31"/>
      <c r="F270" s="111">
        <v>1.3</v>
      </c>
      <c r="G270" s="70"/>
      <c r="H270" s="147"/>
      <c r="I270" s="14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customHeight="1" x14ac:dyDescent="0.3">
      <c r="A271" s="43"/>
      <c r="B271" s="47" t="s">
        <v>314</v>
      </c>
      <c r="C271" s="95"/>
      <c r="D271" s="129"/>
      <c r="E271" s="31"/>
      <c r="F271" s="111">
        <v>6.5</v>
      </c>
      <c r="G271" s="147"/>
      <c r="H271" s="147"/>
      <c r="I271" s="14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3"/>
      <c r="B272" s="47" t="s">
        <v>315</v>
      </c>
      <c r="C272" s="95"/>
      <c r="D272" s="129"/>
      <c r="E272" s="31"/>
      <c r="F272" s="111">
        <v>3</v>
      </c>
      <c r="G272" s="147"/>
      <c r="H272" s="147"/>
      <c r="I272" s="14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customHeight="1" x14ac:dyDescent="0.3">
      <c r="A273" s="43"/>
      <c r="B273" s="47" t="s">
        <v>316</v>
      </c>
      <c r="C273" s="138"/>
      <c r="D273" s="57" t="s">
        <v>42</v>
      </c>
      <c r="E273" s="31"/>
      <c r="F273" s="111">
        <v>3.5</v>
      </c>
      <c r="G273" s="147"/>
      <c r="H273" s="147"/>
      <c r="I273" s="14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customHeight="1" x14ac:dyDescent="0.3">
      <c r="A274" s="43"/>
      <c r="B274" s="47" t="s">
        <v>317</v>
      </c>
      <c r="C274" s="95"/>
      <c r="D274" s="57" t="s">
        <v>42</v>
      </c>
      <c r="E274" s="31"/>
      <c r="F274" s="111">
        <v>5.78</v>
      </c>
      <c r="G274" s="147"/>
      <c r="H274" s="147"/>
      <c r="I274" s="14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3"/>
      <c r="B275" s="47" t="s">
        <v>318</v>
      </c>
      <c r="C275" s="95"/>
      <c r="D275" s="129"/>
      <c r="E275" s="31"/>
      <c r="F275" s="111">
        <v>4.5</v>
      </c>
      <c r="G275" s="147"/>
      <c r="H275" s="147"/>
      <c r="I275" s="14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customHeight="1" x14ac:dyDescent="0.3">
      <c r="A276" s="43"/>
      <c r="B276" s="47" t="s">
        <v>319</v>
      </c>
      <c r="C276" s="95" t="s">
        <v>102</v>
      </c>
      <c r="D276" s="129"/>
      <c r="E276" s="31"/>
      <c r="F276" s="111">
        <v>13.54</v>
      </c>
      <c r="G276" s="147"/>
      <c r="H276" s="147"/>
      <c r="I276" s="14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customHeight="1" x14ac:dyDescent="0.3">
      <c r="A277" s="43"/>
      <c r="B277" s="47" t="s">
        <v>320</v>
      </c>
      <c r="C277" s="95"/>
      <c r="D277" s="110" t="s">
        <v>174</v>
      </c>
      <c r="E277" s="31"/>
      <c r="F277" s="111">
        <v>3.85</v>
      </c>
      <c r="G277" s="70"/>
      <c r="H277" s="147"/>
      <c r="I277" s="14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customHeight="1" x14ac:dyDescent="0.3">
      <c r="A278" s="43"/>
      <c r="B278" s="47" t="s">
        <v>321</v>
      </c>
      <c r="C278" s="4"/>
      <c r="D278" s="117" t="s">
        <v>176</v>
      </c>
      <c r="E278" s="31"/>
      <c r="F278" s="111">
        <v>3.91</v>
      </c>
      <c r="G278" s="147"/>
      <c r="H278" s="147"/>
      <c r="I278" s="14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customHeight="1" x14ac:dyDescent="0.3">
      <c r="A279" s="43"/>
      <c r="B279" s="47" t="s">
        <v>322</v>
      </c>
      <c r="C279" s="95"/>
      <c r="D279" s="57" t="s">
        <v>42</v>
      </c>
      <c r="E279" s="31"/>
      <c r="F279" s="111">
        <v>1.55</v>
      </c>
      <c r="G279" s="147"/>
      <c r="H279" s="147"/>
      <c r="I279" s="14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customHeight="1" x14ac:dyDescent="0.3">
      <c r="A280" s="43"/>
      <c r="B280" s="47" t="s">
        <v>323</v>
      </c>
      <c r="C280" s="95"/>
      <c r="D280" s="57" t="s">
        <v>42</v>
      </c>
      <c r="E280" s="31"/>
      <c r="F280" s="111">
        <v>1.75</v>
      </c>
      <c r="G280" s="147"/>
      <c r="H280" s="147"/>
      <c r="I280" s="14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3"/>
      <c r="B281" s="47" t="s">
        <v>324</v>
      </c>
      <c r="C281" s="95"/>
      <c r="D281" s="117" t="s">
        <v>176</v>
      </c>
      <c r="E281" s="31"/>
      <c r="F281" s="111">
        <v>2.94</v>
      </c>
      <c r="G281" s="147"/>
      <c r="H281" s="147"/>
      <c r="I281" s="14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3"/>
      <c r="B282" s="47" t="s">
        <v>325</v>
      </c>
      <c r="C282" s="95"/>
      <c r="D282" s="129"/>
      <c r="E282" s="31"/>
      <c r="F282" s="111">
        <v>1660</v>
      </c>
      <c r="G282" s="147"/>
      <c r="H282" s="147"/>
      <c r="I282" s="14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3"/>
      <c r="B283" s="47" t="s">
        <v>326</v>
      </c>
      <c r="C283" s="95"/>
      <c r="D283" s="114" t="s">
        <v>52</v>
      </c>
      <c r="E283" s="31"/>
      <c r="F283" s="111">
        <v>1.99</v>
      </c>
      <c r="G283" s="70"/>
      <c r="H283" s="147"/>
      <c r="I283" s="14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3"/>
      <c r="B284" s="47" t="s">
        <v>327</v>
      </c>
      <c r="C284" s="95"/>
      <c r="D284" s="129"/>
      <c r="E284" s="31"/>
      <c r="F284" s="111">
        <v>3.15</v>
      </c>
      <c r="G284" s="147"/>
      <c r="H284" s="147"/>
      <c r="I284" s="14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3"/>
      <c r="B285" s="47" t="s">
        <v>328</v>
      </c>
      <c r="C285" s="95"/>
      <c r="D285" s="57" t="s">
        <v>42</v>
      </c>
      <c r="E285" s="31"/>
      <c r="F285" s="111">
        <v>2.81</v>
      </c>
      <c r="G285" s="147"/>
      <c r="H285" s="147"/>
      <c r="I285" s="14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3"/>
      <c r="B286" s="47" t="s">
        <v>329</v>
      </c>
      <c r="C286" s="2"/>
      <c r="D286" s="57" t="s">
        <v>42</v>
      </c>
      <c r="E286" s="31"/>
      <c r="F286" s="111">
        <v>8.5399999999999991</v>
      </c>
      <c r="G286" s="147"/>
      <c r="H286" s="147"/>
      <c r="I286" s="14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3"/>
      <c r="B287" s="47" t="s">
        <v>330</v>
      </c>
      <c r="C287" s="95"/>
      <c r="D287" s="57" t="s">
        <v>42</v>
      </c>
      <c r="E287" s="139"/>
      <c r="F287" s="111">
        <v>3.32</v>
      </c>
      <c r="G287" s="147"/>
      <c r="H287" s="147"/>
      <c r="I287" s="14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3"/>
      <c r="B288" s="47" t="s">
        <v>331</v>
      </c>
      <c r="C288" s="95"/>
      <c r="D288" s="57" t="s">
        <v>42</v>
      </c>
      <c r="E288" s="31"/>
      <c r="F288" s="111">
        <v>1.77</v>
      </c>
      <c r="G288" s="147"/>
      <c r="H288" s="147"/>
      <c r="I288" s="14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3"/>
      <c r="B289" s="47" t="s">
        <v>332</v>
      </c>
      <c r="C289" s="95"/>
      <c r="D289" s="57" t="s">
        <v>42</v>
      </c>
      <c r="E289" s="31"/>
      <c r="F289" s="111">
        <v>94</v>
      </c>
      <c r="G289" s="147"/>
      <c r="H289" s="147"/>
      <c r="I289" s="14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customHeight="1" x14ac:dyDescent="0.3">
      <c r="A290" s="43"/>
      <c r="B290" s="47" t="s">
        <v>333</v>
      </c>
      <c r="C290" s="95"/>
      <c r="D290" s="114" t="s">
        <v>52</v>
      </c>
      <c r="E290" s="31"/>
      <c r="F290" s="111">
        <v>11.65</v>
      </c>
      <c r="G290" s="147"/>
      <c r="H290" s="147"/>
      <c r="I290" s="14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customHeight="1" x14ac:dyDescent="0.3">
      <c r="A291" s="43"/>
      <c r="B291" s="47" t="s">
        <v>334</v>
      </c>
      <c r="C291" s="95"/>
      <c r="D291" s="114" t="s">
        <v>52</v>
      </c>
      <c r="E291" s="31"/>
      <c r="F291" s="111">
        <v>0.8</v>
      </c>
      <c r="G291" s="147"/>
      <c r="H291" s="147"/>
      <c r="I291" s="14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3"/>
      <c r="B292" s="47" t="s">
        <v>335</v>
      </c>
      <c r="C292" s="95"/>
      <c r="D292" s="110" t="s">
        <v>174</v>
      </c>
      <c r="E292" s="31"/>
      <c r="F292" s="111">
        <v>0.36</v>
      </c>
      <c r="G292" s="147"/>
      <c r="H292" s="147"/>
      <c r="I292" s="14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3"/>
      <c r="B293" s="47" t="s">
        <v>336</v>
      </c>
      <c r="C293" s="95"/>
      <c r="D293" s="77" t="s">
        <v>102</v>
      </c>
      <c r="E293" s="31"/>
      <c r="F293" s="111">
        <v>0.36</v>
      </c>
      <c r="G293" s="70"/>
      <c r="H293" s="147"/>
      <c r="I293" s="14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customHeight="1" x14ac:dyDescent="0.3">
      <c r="A294" s="43"/>
      <c r="B294" s="47" t="s">
        <v>337</v>
      </c>
      <c r="C294" s="95"/>
      <c r="D294" s="110" t="s">
        <v>174</v>
      </c>
      <c r="E294" s="31"/>
      <c r="F294" s="111">
        <v>0.46</v>
      </c>
      <c r="G294" s="147"/>
      <c r="H294" s="147"/>
      <c r="I294" s="14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customHeight="1" x14ac:dyDescent="0.3">
      <c r="A295" s="43"/>
      <c r="B295" s="47" t="s">
        <v>338</v>
      </c>
      <c r="C295" s="95"/>
      <c r="D295" s="110" t="s">
        <v>174</v>
      </c>
      <c r="E295" s="31"/>
      <c r="F295" s="111">
        <v>3.26</v>
      </c>
      <c r="G295" s="147"/>
      <c r="H295" s="147"/>
      <c r="I295" s="14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customHeight="1" x14ac:dyDescent="0.3">
      <c r="A296" s="43"/>
      <c r="B296" s="47" t="s">
        <v>339</v>
      </c>
      <c r="C296" s="64"/>
      <c r="D296" s="140" t="s">
        <v>176</v>
      </c>
      <c r="E296" s="147"/>
      <c r="F296" s="111">
        <v>6.65</v>
      </c>
      <c r="G296" s="147"/>
      <c r="H296" s="147"/>
      <c r="I296" s="14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customHeight="1" x14ac:dyDescent="0.3">
      <c r="A297" s="43"/>
      <c r="B297" s="47" t="s">
        <v>340</v>
      </c>
      <c r="C297" s="147"/>
      <c r="D297" s="141" t="s">
        <v>72</v>
      </c>
      <c r="E297" s="147"/>
      <c r="F297" s="111">
        <v>3.35</v>
      </c>
      <c r="G297" s="147"/>
      <c r="H297" s="147"/>
      <c r="I297" s="14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customHeight="1" x14ac:dyDescent="0.3">
      <c r="A298" s="43"/>
      <c r="B298" s="47" t="s">
        <v>341</v>
      </c>
      <c r="C298" s="147"/>
      <c r="D298" s="114" t="s">
        <v>52</v>
      </c>
      <c r="E298" s="147"/>
      <c r="F298" s="111">
        <v>8.4499999999999993</v>
      </c>
      <c r="G298" s="147"/>
      <c r="H298" s="147"/>
      <c r="I298" s="14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customHeight="1" x14ac:dyDescent="0.3">
      <c r="A299" s="43"/>
      <c r="B299" s="47" t="s">
        <v>342</v>
      </c>
      <c r="C299" s="147"/>
      <c r="D299" s="114" t="s">
        <v>52</v>
      </c>
      <c r="E299" s="147"/>
      <c r="F299" s="111">
        <v>39.950000000000003</v>
      </c>
      <c r="G299" s="147"/>
      <c r="H299" s="147"/>
      <c r="I299" s="14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customHeight="1" x14ac:dyDescent="0.3">
      <c r="A300" s="43"/>
      <c r="B300" s="47" t="s">
        <v>343</v>
      </c>
      <c r="C300" s="147"/>
      <c r="D300" s="45" t="s">
        <v>52</v>
      </c>
      <c r="E300" s="147"/>
      <c r="F300" s="111"/>
      <c r="G300" s="70"/>
      <c r="H300" s="147"/>
      <c r="I300" s="14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customHeight="1" x14ac:dyDescent="0.3">
      <c r="A301" s="43"/>
      <c r="B301" s="47" t="s">
        <v>344</v>
      </c>
      <c r="C301" s="147"/>
      <c r="D301" s="114" t="s">
        <v>52</v>
      </c>
      <c r="E301" s="147"/>
      <c r="F301" s="111">
        <v>7.5</v>
      </c>
      <c r="G301" s="147"/>
      <c r="H301" s="147"/>
      <c r="I301" s="14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customHeight="1" x14ac:dyDescent="0.3">
      <c r="A302" s="43"/>
      <c r="B302" s="47" t="s">
        <v>345</v>
      </c>
      <c r="C302" s="147"/>
      <c r="D302" s="114" t="s">
        <v>52</v>
      </c>
      <c r="E302" s="147"/>
      <c r="F302" s="111">
        <v>4.8499999999999996</v>
      </c>
      <c r="G302" s="147"/>
      <c r="H302" s="147"/>
      <c r="I302" s="14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customHeight="1" x14ac:dyDescent="0.3">
      <c r="A303" s="43"/>
      <c r="B303" s="47" t="s">
        <v>346</v>
      </c>
      <c r="C303" s="64"/>
      <c r="D303" s="142" t="s">
        <v>187</v>
      </c>
      <c r="E303" s="147"/>
      <c r="F303" s="111">
        <v>11.6</v>
      </c>
      <c r="G303" s="70"/>
      <c r="H303" s="147"/>
      <c r="I303" s="14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3"/>
      <c r="B304" s="47" t="s">
        <v>347</v>
      </c>
      <c r="C304" s="147"/>
      <c r="D304" s="114" t="s">
        <v>52</v>
      </c>
      <c r="E304" s="147"/>
      <c r="F304" s="111">
        <v>13.9</v>
      </c>
      <c r="G304" s="70"/>
      <c r="H304" s="147"/>
      <c r="I304" s="14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customHeight="1" x14ac:dyDescent="0.3">
      <c r="A305" s="43"/>
      <c r="B305" s="47" t="s">
        <v>348</v>
      </c>
      <c r="C305" s="147"/>
      <c r="D305" s="114" t="s">
        <v>52</v>
      </c>
      <c r="E305" s="147"/>
      <c r="F305" s="111">
        <v>1.5</v>
      </c>
      <c r="G305" s="147"/>
      <c r="H305" s="147"/>
      <c r="I305" s="14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customHeight="1" x14ac:dyDescent="0.3">
      <c r="A306" s="43"/>
      <c r="B306" s="47" t="s">
        <v>349</v>
      </c>
      <c r="C306" s="147"/>
      <c r="D306" s="114" t="s">
        <v>52</v>
      </c>
      <c r="E306" s="147"/>
      <c r="F306" s="111">
        <v>1.85</v>
      </c>
      <c r="G306" s="70"/>
      <c r="H306" s="147"/>
      <c r="I306" s="14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3"/>
      <c r="B307" s="47" t="s">
        <v>350</v>
      </c>
      <c r="C307" s="147"/>
      <c r="D307" s="114" t="s">
        <v>52</v>
      </c>
      <c r="E307" s="147"/>
      <c r="F307" s="111">
        <v>1.55</v>
      </c>
      <c r="G307" s="147"/>
      <c r="H307" s="147"/>
      <c r="I307" s="14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customHeight="1" x14ac:dyDescent="0.3">
      <c r="A308" s="43"/>
      <c r="B308" s="47" t="s">
        <v>351</v>
      </c>
      <c r="C308" s="147"/>
      <c r="D308" s="114" t="s">
        <v>52</v>
      </c>
      <c r="E308" s="147"/>
      <c r="F308" s="111">
        <v>1.2</v>
      </c>
      <c r="G308" s="147"/>
      <c r="H308" s="147"/>
      <c r="I308" s="14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customHeight="1" x14ac:dyDescent="0.3">
      <c r="A309" s="43"/>
      <c r="B309" s="47" t="s">
        <v>352</v>
      </c>
      <c r="C309" s="147"/>
      <c r="D309" s="129" t="s">
        <v>82</v>
      </c>
      <c r="E309" s="147"/>
      <c r="F309" s="111">
        <v>1.2</v>
      </c>
      <c r="G309" s="147"/>
      <c r="H309" s="147"/>
      <c r="I309" s="14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customHeight="1" x14ac:dyDescent="0.3">
      <c r="A310" s="43"/>
      <c r="B310" s="47" t="s">
        <v>353</v>
      </c>
      <c r="C310" s="147"/>
      <c r="D310" s="114" t="s">
        <v>52</v>
      </c>
      <c r="E310" s="147"/>
      <c r="F310" s="111">
        <v>7.5</v>
      </c>
      <c r="G310" s="147"/>
      <c r="H310" s="147"/>
      <c r="I310" s="14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customHeight="1" x14ac:dyDescent="0.3">
      <c r="A311" s="43"/>
      <c r="B311" s="47" t="s">
        <v>354</v>
      </c>
      <c r="C311" s="147"/>
      <c r="D311" s="57" t="s">
        <v>42</v>
      </c>
      <c r="E311" s="147"/>
      <c r="F311" s="111">
        <v>4.5</v>
      </c>
      <c r="G311" s="147"/>
      <c r="H311" s="147"/>
      <c r="I311" s="14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3"/>
      <c r="B312" s="47" t="s">
        <v>355</v>
      </c>
      <c r="C312" s="147"/>
      <c r="D312" s="143" t="s">
        <v>42</v>
      </c>
      <c r="E312" s="147"/>
      <c r="F312" s="111">
        <v>1</v>
      </c>
      <c r="G312" s="147"/>
      <c r="H312" s="147"/>
      <c r="I312" s="14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3"/>
      <c r="B313" s="47" t="s">
        <v>356</v>
      </c>
      <c r="C313" s="64"/>
      <c r="D313" s="144" t="s">
        <v>176</v>
      </c>
      <c r="E313" s="147"/>
      <c r="F313" s="111">
        <v>18.25</v>
      </c>
      <c r="G313" s="147"/>
      <c r="H313" s="147"/>
      <c r="I313" s="14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3"/>
      <c r="B314" s="47" t="s">
        <v>357</v>
      </c>
      <c r="C314" s="64"/>
      <c r="D314" s="145"/>
      <c r="E314" s="147"/>
      <c r="F314" s="111"/>
      <c r="G314" s="147"/>
      <c r="H314" s="147"/>
      <c r="I314" s="14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3"/>
      <c r="B315" s="47" t="s">
        <v>358</v>
      </c>
      <c r="C315" s="147"/>
      <c r="D315" s="45" t="s">
        <v>52</v>
      </c>
      <c r="E315" s="147"/>
      <c r="F315" s="111">
        <v>2.85</v>
      </c>
      <c r="G315" s="147"/>
      <c r="H315" s="147"/>
      <c r="I315" s="14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3"/>
      <c r="B316" s="47" t="s">
        <v>359</v>
      </c>
      <c r="C316" s="147"/>
      <c r="D316" s="45" t="s">
        <v>52</v>
      </c>
      <c r="E316" s="147"/>
      <c r="F316" s="111">
        <v>2.85</v>
      </c>
      <c r="G316" s="70"/>
      <c r="H316" s="147"/>
      <c r="I316" s="14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3"/>
      <c r="B317" s="47" t="s">
        <v>360</v>
      </c>
      <c r="C317" s="147"/>
      <c r="D317" s="45" t="s">
        <v>52</v>
      </c>
      <c r="E317" s="147"/>
      <c r="F317" s="111">
        <v>4.25</v>
      </c>
      <c r="G317" s="147"/>
      <c r="H317" s="147"/>
      <c r="I317" s="14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3"/>
      <c r="B318" s="47" t="s">
        <v>361</v>
      </c>
      <c r="C318" s="147"/>
      <c r="D318" s="146" t="s">
        <v>44</v>
      </c>
      <c r="E318" s="147"/>
      <c r="F318" s="111">
        <v>9.15</v>
      </c>
      <c r="G318" s="147"/>
      <c r="H318" s="147"/>
      <c r="I318" s="14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3"/>
      <c r="B319" s="47" t="s">
        <v>362</v>
      </c>
      <c r="C319" s="147"/>
      <c r="D319" s="146" t="s">
        <v>44</v>
      </c>
      <c r="E319" s="147"/>
      <c r="F319" s="111">
        <v>4.25</v>
      </c>
      <c r="G319" s="147"/>
      <c r="H319" s="147"/>
      <c r="I319" s="14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3"/>
      <c r="B320" s="47" t="s">
        <v>363</v>
      </c>
      <c r="C320" s="147"/>
      <c r="D320" s="146" t="s">
        <v>44</v>
      </c>
      <c r="E320" s="147"/>
      <c r="F320" s="111">
        <v>3.46</v>
      </c>
      <c r="G320" s="147"/>
      <c r="H320" s="147"/>
      <c r="I320" s="14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3"/>
      <c r="B321" s="47" t="s">
        <v>364</v>
      </c>
      <c r="C321" s="147"/>
      <c r="D321" s="146" t="s">
        <v>44</v>
      </c>
      <c r="E321" s="147"/>
      <c r="F321" s="111">
        <v>3.46</v>
      </c>
      <c r="G321" s="147"/>
      <c r="H321" s="147"/>
      <c r="I321" s="14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3"/>
      <c r="B322" s="47" t="s">
        <v>365</v>
      </c>
      <c r="C322" s="147"/>
      <c r="D322" s="77" t="s">
        <v>102</v>
      </c>
      <c r="E322" s="147"/>
      <c r="F322" s="111">
        <v>5.35</v>
      </c>
      <c r="G322" s="147"/>
      <c r="H322" s="147"/>
      <c r="I322" s="14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3"/>
      <c r="B323" s="47" t="s">
        <v>366</v>
      </c>
      <c r="C323" s="147"/>
      <c r="D323" s="142" t="s">
        <v>187</v>
      </c>
      <c r="E323" s="147"/>
      <c r="F323" s="111">
        <v>2.5</v>
      </c>
      <c r="G323" s="147"/>
      <c r="H323" s="147"/>
      <c r="I323" s="14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3"/>
      <c r="B324" s="47" t="s">
        <v>367</v>
      </c>
      <c r="C324" s="147"/>
      <c r="D324" s="147" t="s">
        <v>169</v>
      </c>
      <c r="E324" s="147"/>
      <c r="F324" s="111">
        <v>10.5</v>
      </c>
      <c r="G324" s="147"/>
      <c r="H324" s="147"/>
      <c r="I324" s="14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3"/>
      <c r="B325" s="47" t="s">
        <v>368</v>
      </c>
      <c r="C325" s="147"/>
      <c r="D325" s="147" t="s">
        <v>82</v>
      </c>
      <c r="E325" s="147"/>
      <c r="F325" s="111">
        <v>6.35</v>
      </c>
      <c r="G325" s="147"/>
      <c r="H325" s="147"/>
      <c r="I325" s="14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3"/>
      <c r="B326" s="47" t="s">
        <v>369</v>
      </c>
      <c r="C326" s="147"/>
      <c r="D326" s="160" t="s">
        <v>176</v>
      </c>
      <c r="E326" s="147"/>
      <c r="F326" s="111">
        <v>31.53</v>
      </c>
      <c r="G326" s="147"/>
      <c r="H326" s="147"/>
      <c r="I326" s="14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3"/>
      <c r="B327" s="47" t="s">
        <v>370</v>
      </c>
      <c r="C327" s="147"/>
      <c r="D327" s="160" t="s">
        <v>176</v>
      </c>
      <c r="E327" s="147"/>
      <c r="F327" s="111">
        <v>6.75</v>
      </c>
      <c r="G327" s="147"/>
      <c r="H327" s="147"/>
      <c r="I327" s="14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3"/>
      <c r="B328" s="47" t="s">
        <v>371</v>
      </c>
      <c r="C328" s="147"/>
      <c r="D328" s="160" t="s">
        <v>176</v>
      </c>
      <c r="E328" s="147"/>
      <c r="F328" s="111">
        <f>'MP boda 31-1'!I9</f>
        <v>0.59461724137931049</v>
      </c>
      <c r="G328" s="147"/>
      <c r="H328" s="147"/>
      <c r="I328" s="14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3"/>
      <c r="B329" s="47" t="s">
        <v>372</v>
      </c>
      <c r="C329" s="147"/>
      <c r="D329" s="160" t="s">
        <v>176</v>
      </c>
      <c r="E329" s="147"/>
      <c r="F329" s="111">
        <f>'MP boda 31-1'!I24</f>
        <v>29.998862068965522</v>
      </c>
      <c r="G329" s="147"/>
      <c r="H329" s="147"/>
      <c r="I329" s="14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3"/>
      <c r="B330" s="47" t="s">
        <v>373</v>
      </c>
      <c r="C330" s="147"/>
      <c r="D330" s="160" t="s">
        <v>176</v>
      </c>
      <c r="E330" s="147"/>
      <c r="F330" s="111">
        <f>'MP boda 31-1'!I53</f>
        <v>0.8370689655172413</v>
      </c>
      <c r="G330" s="70"/>
      <c r="H330" s="147"/>
      <c r="I330" s="14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3"/>
      <c r="B331" s="47" t="s">
        <v>374</v>
      </c>
      <c r="C331" s="147"/>
      <c r="D331" s="160" t="s">
        <v>176</v>
      </c>
      <c r="E331" s="147"/>
      <c r="F331" s="111">
        <f>'MP boda 31-1'!I64</f>
        <v>3.1084999999999998</v>
      </c>
      <c r="G331" s="147"/>
      <c r="H331" s="147"/>
      <c r="I331" s="14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3"/>
      <c r="B332" s="47" t="s">
        <v>375</v>
      </c>
      <c r="C332" s="147"/>
      <c r="D332" s="160" t="s">
        <v>176</v>
      </c>
      <c r="E332" s="147"/>
      <c r="F332" s="111">
        <f>'MP boda 31-1'!I75</f>
        <v>0.15748275862068967</v>
      </c>
      <c r="G332" s="147"/>
      <c r="H332" s="147"/>
      <c r="I332" s="14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3"/>
      <c r="B333" s="47" t="s">
        <v>376</v>
      </c>
      <c r="C333" s="147"/>
      <c r="D333" s="160" t="s">
        <v>176</v>
      </c>
      <c r="E333" s="147"/>
      <c r="F333" s="111">
        <f>'MP boda 31-1'!I88</f>
        <v>0.75613793103448279</v>
      </c>
      <c r="G333" s="147"/>
      <c r="H333" s="147"/>
      <c r="I333" s="14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3"/>
      <c r="B334" s="47" t="s">
        <v>377</v>
      </c>
      <c r="C334" s="147"/>
      <c r="D334" s="160" t="s">
        <v>176</v>
      </c>
      <c r="E334" s="147"/>
      <c r="F334" s="111">
        <f>'MP boda 31-1'!I102</f>
        <v>1.7559913793103448</v>
      </c>
      <c r="G334" s="147"/>
      <c r="H334" s="147"/>
      <c r="I334" s="14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3"/>
      <c r="B335" s="47" t="s">
        <v>378</v>
      </c>
      <c r="C335" s="147"/>
      <c r="D335" s="147"/>
      <c r="E335" s="147"/>
      <c r="F335" s="111">
        <f>'MP boda 31-1'!I119</f>
        <v>0.39396551724137929</v>
      </c>
      <c r="G335" s="147"/>
      <c r="H335" s="147"/>
      <c r="I335" s="14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3"/>
      <c r="B336" s="47" t="s">
        <v>379</v>
      </c>
      <c r="C336" s="147"/>
      <c r="D336" s="147"/>
      <c r="E336" s="147"/>
      <c r="F336" s="111">
        <f>'MP boda 31-1'!I131</f>
        <v>1.4276724137931034</v>
      </c>
      <c r="G336" s="70"/>
      <c r="H336" s="147"/>
      <c r="I336" s="14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98"/>
      <c r="B337" s="47" t="s">
        <v>380</v>
      </c>
      <c r="C337" s="148"/>
      <c r="D337" s="149" t="s">
        <v>82</v>
      </c>
      <c r="E337" s="148"/>
      <c r="F337" s="111">
        <v>13.2</v>
      </c>
      <c r="G337" s="150"/>
      <c r="H337" s="148"/>
      <c r="I337" s="14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107"/>
      <c r="B338" s="47" t="s">
        <v>381</v>
      </c>
      <c r="C338" s="129"/>
      <c r="D338" s="78" t="s">
        <v>82</v>
      </c>
      <c r="E338" s="129"/>
      <c r="F338" s="111">
        <v>10.5</v>
      </c>
      <c r="G338" s="151"/>
      <c r="H338" s="129"/>
      <c r="I338" s="129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.75" customHeight="1" x14ac:dyDescent="0.3">
      <c r="A339" s="133"/>
      <c r="B339" s="47" t="s">
        <v>382</v>
      </c>
      <c r="C339" s="152"/>
      <c r="D339" s="153" t="s">
        <v>82</v>
      </c>
      <c r="E339" s="152"/>
      <c r="F339" s="111">
        <v>11</v>
      </c>
      <c r="G339" s="152"/>
      <c r="H339" s="152"/>
      <c r="I339" s="15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3"/>
      <c r="B340" s="47" t="s">
        <v>383</v>
      </c>
      <c r="C340" s="147"/>
      <c r="D340" s="147"/>
      <c r="E340" s="147"/>
      <c r="F340" s="111">
        <f>'MP boda 31-1'!I181</f>
        <v>0.24931034482758621</v>
      </c>
      <c r="G340" s="147"/>
      <c r="H340" s="147"/>
      <c r="I340" s="14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3"/>
      <c r="B341" s="47" t="s">
        <v>384</v>
      </c>
      <c r="C341" s="147"/>
      <c r="D341" s="160" t="s">
        <v>176</v>
      </c>
      <c r="E341" s="147"/>
      <c r="F341" s="111">
        <v>0.12559999999999999</v>
      </c>
      <c r="G341" s="70"/>
      <c r="H341" s="147"/>
      <c r="I341" s="14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3"/>
      <c r="B342" s="47" t="s">
        <v>385</v>
      </c>
      <c r="C342" s="147"/>
      <c r="D342" s="160" t="s">
        <v>176</v>
      </c>
      <c r="E342" s="147"/>
      <c r="F342" s="111">
        <f>'MP boda 31-1'!I170</f>
        <v>0.13982758620689653</v>
      </c>
      <c r="G342" s="147"/>
      <c r="H342" s="147"/>
      <c r="I342" s="14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3"/>
      <c r="B343" s="47" t="s">
        <v>386</v>
      </c>
      <c r="C343" s="147"/>
      <c r="D343" s="160" t="s">
        <v>387</v>
      </c>
      <c r="E343" s="147"/>
      <c r="F343" s="111">
        <v>1.5</v>
      </c>
      <c r="G343" s="147"/>
      <c r="H343" s="147"/>
      <c r="I343" s="14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3"/>
      <c r="B344" s="47" t="s">
        <v>388</v>
      </c>
      <c r="C344" s="147"/>
      <c r="D344" s="160" t="s">
        <v>387</v>
      </c>
      <c r="E344" s="147"/>
      <c r="F344" s="111">
        <v>2</v>
      </c>
      <c r="G344" s="147"/>
      <c r="H344" s="147"/>
      <c r="I344" s="14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3"/>
      <c r="B345" s="47" t="s">
        <v>389</v>
      </c>
      <c r="C345" s="147"/>
      <c r="D345" s="160" t="s">
        <v>176</v>
      </c>
      <c r="E345" s="147"/>
      <c r="F345" s="111">
        <f>'M.P menú bbq 95€'!J9</f>
        <v>0.16574166666666665</v>
      </c>
      <c r="G345" s="70"/>
      <c r="H345" s="147"/>
      <c r="I345" s="14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3"/>
      <c r="B346" s="47" t="s">
        <v>390</v>
      </c>
      <c r="C346" s="147"/>
      <c r="D346" s="160" t="s">
        <v>176</v>
      </c>
      <c r="E346" s="147"/>
      <c r="F346" s="111">
        <f>'M.P menú bbq 95€'!J26</f>
        <v>2.0265</v>
      </c>
      <c r="G346" s="70"/>
      <c r="H346" s="147"/>
      <c r="I346" s="14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3"/>
      <c r="B347" s="47" t="s">
        <v>391</v>
      </c>
      <c r="C347" s="147"/>
      <c r="D347" s="160" t="s">
        <v>176</v>
      </c>
      <c r="E347" s="147"/>
      <c r="F347" s="111">
        <f>'M.P menú bbq 95€'!J43</f>
        <v>3.6789000000000005</v>
      </c>
      <c r="G347" s="70"/>
      <c r="H347" s="147"/>
      <c r="I347" s="14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3"/>
      <c r="B348" s="47" t="s">
        <v>392</v>
      </c>
      <c r="C348" s="147"/>
      <c r="D348" s="160" t="s">
        <v>387</v>
      </c>
      <c r="E348" s="147"/>
      <c r="F348" s="111">
        <f>'M.P menú bbq 95€'!J61</f>
        <v>15.269499999999999</v>
      </c>
      <c r="G348" s="147"/>
      <c r="H348" s="147"/>
      <c r="I348" s="14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3"/>
      <c r="B349" s="47" t="s">
        <v>393</v>
      </c>
      <c r="C349" s="147"/>
      <c r="D349" s="160" t="s">
        <v>387</v>
      </c>
      <c r="E349" s="147"/>
      <c r="F349" s="111">
        <v>1</v>
      </c>
      <c r="G349" s="147"/>
      <c r="H349" s="147"/>
      <c r="I349" s="14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3"/>
      <c r="B350" s="47" t="s">
        <v>394</v>
      </c>
      <c r="C350" s="147"/>
      <c r="D350" s="160" t="s">
        <v>176</v>
      </c>
      <c r="E350" s="147"/>
      <c r="F350" s="111">
        <f>'M.P Menú finde 45€'!J9</f>
        <v>1.64975</v>
      </c>
      <c r="G350" s="70"/>
      <c r="H350" s="147"/>
      <c r="I350" s="14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3"/>
      <c r="B351" s="47" t="s">
        <v>395</v>
      </c>
      <c r="C351" s="64"/>
      <c r="D351" s="160" t="s">
        <v>387</v>
      </c>
      <c r="E351" s="147"/>
      <c r="F351" s="111">
        <v>0.2</v>
      </c>
      <c r="G351" s="70"/>
      <c r="H351" s="147"/>
      <c r="I351" s="14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3"/>
      <c r="B352" s="47" t="s">
        <v>396</v>
      </c>
      <c r="C352" s="64"/>
      <c r="D352" s="160" t="s">
        <v>176</v>
      </c>
      <c r="E352" s="147"/>
      <c r="F352" s="111">
        <f>'M.P Menú finde 45€'!J23</f>
        <v>1.7053750000000001</v>
      </c>
      <c r="G352" s="70"/>
      <c r="H352" s="147"/>
      <c r="I352" s="14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3"/>
      <c r="B353" s="47" t="s">
        <v>397</v>
      </c>
      <c r="C353" s="147"/>
      <c r="D353" s="160" t="s">
        <v>176</v>
      </c>
      <c r="E353" s="147"/>
      <c r="F353" s="111">
        <f>'M.P Menú finde 45€'!J42</f>
        <v>1.2956875000000001</v>
      </c>
      <c r="G353" s="147"/>
      <c r="H353" s="147"/>
      <c r="I353" s="14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3"/>
      <c r="B354" s="47" t="s">
        <v>398</v>
      </c>
      <c r="C354" s="64"/>
      <c r="D354" s="160" t="s">
        <v>176</v>
      </c>
      <c r="E354" s="147"/>
      <c r="F354" s="111">
        <f>'M.P Menú finde 45€'!J59</f>
        <v>0.54694999999999994</v>
      </c>
      <c r="G354" s="70"/>
      <c r="H354" s="147"/>
      <c r="I354" s="14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3"/>
      <c r="B355" s="47" t="s">
        <v>399</v>
      </c>
      <c r="C355" s="147"/>
      <c r="D355" s="160" t="s">
        <v>176</v>
      </c>
      <c r="E355" s="147"/>
      <c r="F355" s="111">
        <f>'M.P Menú finde 45€'!J75</f>
        <v>5.4202599999999999</v>
      </c>
      <c r="G355" s="147"/>
      <c r="H355" s="147"/>
      <c r="I355" s="14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3"/>
      <c r="B356" s="47" t="s">
        <v>400</v>
      </c>
      <c r="C356" s="147" t="s">
        <v>401</v>
      </c>
      <c r="D356" s="147" t="s">
        <v>402</v>
      </c>
      <c r="E356" s="147" t="s">
        <v>402</v>
      </c>
      <c r="F356" s="111">
        <v>0.33689999999999998</v>
      </c>
      <c r="G356" s="70" t="s">
        <v>403</v>
      </c>
      <c r="H356" s="147" t="s">
        <v>404</v>
      </c>
      <c r="I356" s="147" t="s">
        <v>404</v>
      </c>
      <c r="J356" s="4" t="s">
        <v>404</v>
      </c>
      <c r="K356" s="4" t="s">
        <v>404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3"/>
      <c r="B357" s="47"/>
      <c r="C357" s="147"/>
      <c r="D357" s="147"/>
      <c r="E357" s="147"/>
      <c r="F357" s="111"/>
      <c r="G357" s="147"/>
      <c r="H357" s="147"/>
      <c r="I357" s="14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3"/>
      <c r="B358" s="47"/>
      <c r="C358" s="147"/>
      <c r="D358" s="147"/>
      <c r="E358" s="147"/>
      <c r="F358" s="111"/>
      <c r="G358" s="64"/>
      <c r="H358" s="147"/>
      <c r="I358" s="14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3"/>
      <c r="B359" s="47"/>
      <c r="C359" s="147"/>
      <c r="D359" s="147"/>
      <c r="E359" s="147"/>
      <c r="F359" s="111"/>
      <c r="G359" s="64"/>
      <c r="H359" s="147"/>
      <c r="I359" s="14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3"/>
      <c r="B360" s="47"/>
      <c r="C360" s="147"/>
      <c r="D360" s="147"/>
      <c r="E360" s="147"/>
      <c r="F360" s="111"/>
      <c r="G360" s="64"/>
      <c r="H360" s="147"/>
      <c r="I360" s="14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3"/>
      <c r="B361" s="47"/>
      <c r="C361" s="147"/>
      <c r="D361" s="147"/>
      <c r="E361" s="147"/>
      <c r="F361" s="111"/>
      <c r="G361" s="70"/>
      <c r="H361" s="147"/>
      <c r="I361" s="14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3"/>
      <c r="B362" s="47"/>
      <c r="C362" s="64"/>
      <c r="D362" s="147"/>
      <c r="E362" s="147"/>
      <c r="F362" s="111"/>
      <c r="G362" s="70"/>
      <c r="H362" s="147"/>
      <c r="I362" s="14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3"/>
      <c r="B363" s="47"/>
      <c r="C363" s="147"/>
      <c r="D363" s="147"/>
      <c r="E363" s="147"/>
      <c r="F363" s="111"/>
      <c r="G363" s="147"/>
      <c r="H363" s="147"/>
      <c r="I363" s="14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customHeight="1" x14ac:dyDescent="0.3">
      <c r="A364" s="43"/>
      <c r="B364" s="47"/>
      <c r="C364" s="147"/>
      <c r="D364" s="147"/>
      <c r="E364" s="147"/>
      <c r="F364" s="111"/>
      <c r="G364" s="64"/>
      <c r="H364" s="147"/>
      <c r="I364" s="14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3"/>
      <c r="B365" s="47"/>
      <c r="C365" s="147"/>
      <c r="D365" s="147"/>
      <c r="E365" s="147"/>
      <c r="F365" s="111"/>
      <c r="G365" s="147"/>
      <c r="H365" s="147"/>
      <c r="I365" s="14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3"/>
      <c r="B366" s="47"/>
      <c r="C366" s="147"/>
      <c r="D366" s="147"/>
      <c r="E366" s="147"/>
      <c r="F366" s="111"/>
      <c r="G366" s="147"/>
      <c r="H366" s="64"/>
      <c r="I366" s="14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3"/>
      <c r="B367" s="119"/>
      <c r="C367" s="147"/>
      <c r="D367" s="147"/>
      <c r="E367" s="147"/>
      <c r="F367" s="121"/>
      <c r="G367" s="147"/>
      <c r="H367" s="64"/>
      <c r="I367" s="14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6" t="s">
        <v>44</v>
      </c>
      <c r="B368" s="47"/>
      <c r="C368" s="154"/>
      <c r="D368" s="129"/>
      <c r="E368" s="23"/>
      <c r="F368" s="111"/>
      <c r="G368" s="31"/>
      <c r="H368" s="147"/>
      <c r="I368" s="14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6" t="s">
        <v>44</v>
      </c>
      <c r="B369" s="47"/>
      <c r="C369" s="154"/>
      <c r="D369" s="129"/>
      <c r="E369" s="23"/>
      <c r="F369" s="111"/>
      <c r="G369" s="31"/>
      <c r="H369" s="147"/>
      <c r="I369" s="14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">
      <c r="A370" s="46" t="s">
        <v>44</v>
      </c>
      <c r="B370" s="119"/>
      <c r="C370" s="154"/>
      <c r="D370" s="129"/>
      <c r="E370" s="23"/>
      <c r="F370" s="111"/>
      <c r="G370" s="31"/>
      <c r="H370" s="147"/>
      <c r="I370" s="14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">
      <c r="A371" s="46" t="s">
        <v>44</v>
      </c>
      <c r="B371" s="47"/>
      <c r="C371" s="24"/>
      <c r="D371" s="129"/>
      <c r="E371" s="23"/>
      <c r="F371" s="111"/>
      <c r="G371" s="31"/>
      <c r="H371" s="147"/>
      <c r="I371" s="14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">
      <c r="A372" s="46" t="s">
        <v>44</v>
      </c>
      <c r="B372" s="47"/>
      <c r="C372" s="24"/>
      <c r="D372" s="129"/>
      <c r="E372" s="23"/>
      <c r="F372" s="111"/>
      <c r="G372" s="31"/>
      <c r="H372" s="147"/>
      <c r="I372" s="14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">
      <c r="A373" s="155" t="s">
        <v>44</v>
      </c>
      <c r="B373" s="156"/>
      <c r="C373" s="7"/>
      <c r="D373" s="7"/>
      <c r="E373" s="120"/>
      <c r="F373" s="121"/>
      <c r="G373" s="31"/>
      <c r="H373" s="147"/>
      <c r="I373" s="14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">
      <c r="A374" s="107"/>
      <c r="B374" s="47"/>
      <c r="C374" s="157"/>
      <c r="D374" s="129"/>
      <c r="E374" s="129"/>
      <c r="F374" s="111"/>
      <c r="G374" s="31"/>
      <c r="H374" s="64"/>
      <c r="I374" s="14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133"/>
      <c r="B375" s="75"/>
      <c r="C375" s="158"/>
      <c r="D375" s="152"/>
      <c r="E375" s="152"/>
      <c r="F375" s="3"/>
      <c r="G375" s="147"/>
      <c r="H375" s="64"/>
      <c r="I375" s="14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3"/>
      <c r="B376" s="75"/>
      <c r="C376" s="159"/>
      <c r="D376" s="147"/>
      <c r="E376" s="147"/>
      <c r="F376" s="3"/>
      <c r="G376" s="147"/>
      <c r="H376" s="64"/>
      <c r="I376" s="14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3"/>
      <c r="B377" s="75"/>
      <c r="C377" s="159"/>
      <c r="D377" s="147"/>
      <c r="E377" s="147"/>
      <c r="F377" s="3"/>
      <c r="G377" s="147"/>
      <c r="H377" s="64"/>
      <c r="I377" s="14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3"/>
      <c r="B378" s="75"/>
      <c r="C378" s="159"/>
      <c r="D378" s="147"/>
      <c r="E378" s="147"/>
      <c r="F378" s="3"/>
      <c r="G378" s="147"/>
      <c r="H378" s="64"/>
      <c r="I378" s="14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3"/>
      <c r="B379" s="75"/>
      <c r="C379" s="159"/>
      <c r="D379" s="147"/>
      <c r="E379" s="147"/>
      <c r="F379" s="3"/>
      <c r="G379" s="147"/>
      <c r="H379" s="64"/>
      <c r="I379" s="14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3"/>
      <c r="B380" s="75"/>
      <c r="C380" s="159"/>
      <c r="D380" s="147"/>
      <c r="E380" s="147"/>
      <c r="F380" s="3"/>
      <c r="G380" s="147"/>
      <c r="H380" s="64"/>
      <c r="I380" s="14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3"/>
      <c r="B381" s="75"/>
      <c r="C381" s="159"/>
      <c r="D381" s="147"/>
      <c r="E381" s="147"/>
      <c r="F381" s="3"/>
      <c r="G381" s="147"/>
      <c r="H381" s="64"/>
      <c r="I381" s="14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3"/>
      <c r="B382" s="75"/>
      <c r="C382" s="159"/>
      <c r="D382" s="147"/>
      <c r="E382" s="147"/>
      <c r="F382" s="3"/>
      <c r="G382" s="147"/>
      <c r="H382" s="64"/>
      <c r="I382" s="14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3"/>
      <c r="B383" s="75"/>
      <c r="C383" s="159"/>
      <c r="D383" s="147"/>
      <c r="E383" s="147"/>
      <c r="F383" s="3"/>
      <c r="G383" s="147"/>
      <c r="H383" s="64"/>
      <c r="I383" s="14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3"/>
      <c r="B384" s="75"/>
      <c r="C384" s="159"/>
      <c r="D384" s="147"/>
      <c r="E384" s="147"/>
      <c r="F384" s="3"/>
      <c r="G384" s="147"/>
      <c r="H384" s="64"/>
      <c r="I384" s="14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3"/>
      <c r="B385" s="75"/>
      <c r="C385" s="159"/>
      <c r="D385" s="147"/>
      <c r="E385" s="147"/>
      <c r="F385" s="3"/>
      <c r="G385" s="147"/>
      <c r="H385" s="64"/>
      <c r="I385" s="14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3"/>
      <c r="B386" s="75"/>
      <c r="C386" s="159"/>
      <c r="D386" s="147"/>
      <c r="E386" s="147"/>
      <c r="F386" s="3"/>
      <c r="G386" s="147"/>
      <c r="H386" s="64"/>
      <c r="I386" s="14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3"/>
      <c r="B387" s="75"/>
      <c r="C387" s="159"/>
      <c r="D387" s="147"/>
      <c r="E387" s="147"/>
      <c r="F387" s="3"/>
      <c r="G387" s="147"/>
      <c r="H387" s="64"/>
      <c r="I387" s="14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3"/>
      <c r="B388" s="75"/>
      <c r="C388" s="159"/>
      <c r="D388" s="147"/>
      <c r="E388" s="147"/>
      <c r="F388" s="3"/>
      <c r="G388" s="147"/>
      <c r="H388" s="64"/>
      <c r="I388" s="14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3"/>
      <c r="B389" s="75"/>
      <c r="C389" s="159"/>
      <c r="D389" s="147"/>
      <c r="E389" s="147"/>
      <c r="F389" s="3"/>
      <c r="G389" s="147"/>
      <c r="H389" s="64"/>
      <c r="I389" s="14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3"/>
      <c r="B390" s="75"/>
      <c r="C390" s="159"/>
      <c r="D390" s="147"/>
      <c r="E390" s="147"/>
      <c r="F390" s="3"/>
      <c r="G390" s="147"/>
      <c r="H390" s="64"/>
      <c r="I390" s="14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3"/>
      <c r="B391" s="75"/>
      <c r="C391" s="159"/>
      <c r="D391" s="147"/>
      <c r="E391" s="147"/>
      <c r="F391" s="3"/>
      <c r="G391" s="147"/>
      <c r="H391" s="64"/>
      <c r="I391" s="14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3"/>
      <c r="B392" s="75"/>
      <c r="C392" s="159"/>
      <c r="D392" s="147"/>
      <c r="E392" s="147"/>
      <c r="F392" s="3"/>
      <c r="G392" s="147"/>
      <c r="H392" s="64"/>
      <c r="I392" s="14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3"/>
      <c r="B393" s="75"/>
      <c r="C393" s="159"/>
      <c r="D393" s="147"/>
      <c r="E393" s="147"/>
      <c r="F393" s="3"/>
      <c r="G393" s="147"/>
      <c r="H393" s="64"/>
      <c r="I393" s="14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3"/>
      <c r="B394" s="75"/>
      <c r="C394" s="159"/>
      <c r="D394" s="147"/>
      <c r="E394" s="147"/>
      <c r="F394" s="3"/>
      <c r="G394" s="147"/>
      <c r="H394" s="64"/>
      <c r="I394" s="14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3"/>
      <c r="B395" s="75"/>
      <c r="C395" s="159"/>
      <c r="D395" s="147"/>
      <c r="E395" s="147"/>
      <c r="F395" s="3"/>
      <c r="G395" s="147"/>
      <c r="H395" s="64"/>
      <c r="I395" s="14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3"/>
      <c r="B396" s="75"/>
      <c r="C396" s="159"/>
      <c r="D396" s="147"/>
      <c r="E396" s="147"/>
      <c r="F396" s="3"/>
      <c r="G396" s="147"/>
      <c r="H396" s="64"/>
      <c r="I396" s="14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3"/>
      <c r="B397" s="75"/>
      <c r="C397" s="159"/>
      <c r="D397" s="147"/>
      <c r="E397" s="147"/>
      <c r="F397" s="3"/>
      <c r="G397" s="147"/>
      <c r="H397" s="64"/>
      <c r="I397" s="14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3"/>
      <c r="B398" s="75"/>
      <c r="C398" s="159"/>
      <c r="D398" s="147"/>
      <c r="E398" s="147"/>
      <c r="F398" s="3"/>
      <c r="G398" s="147"/>
      <c r="H398" s="64"/>
      <c r="I398" s="14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3"/>
      <c r="B399" s="75"/>
      <c r="C399" s="159"/>
      <c r="D399" s="147"/>
      <c r="E399" s="147"/>
      <c r="F399" s="3"/>
      <c r="G399" s="147"/>
      <c r="H399" s="64"/>
      <c r="I399" s="14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3"/>
      <c r="B400" s="75"/>
      <c r="C400" s="159"/>
      <c r="D400" s="147"/>
      <c r="E400" s="147"/>
      <c r="F400" s="3"/>
      <c r="G400" s="147"/>
      <c r="H400" s="64"/>
      <c r="I400" s="14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3"/>
      <c r="B401" s="75"/>
      <c r="C401" s="159"/>
      <c r="D401" s="147"/>
      <c r="E401" s="147"/>
      <c r="F401" s="3"/>
      <c r="G401" s="147"/>
      <c r="H401" s="64"/>
      <c r="I401" s="14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3"/>
      <c r="B402" s="75"/>
      <c r="C402" s="159"/>
      <c r="D402" s="147"/>
      <c r="E402" s="147"/>
      <c r="F402" s="3"/>
      <c r="G402" s="147"/>
      <c r="H402" s="64"/>
      <c r="I402" s="14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3"/>
      <c r="B403" s="75"/>
      <c r="C403" s="159"/>
      <c r="D403" s="147"/>
      <c r="E403" s="147"/>
      <c r="F403" s="3"/>
      <c r="G403" s="147"/>
      <c r="H403" s="64"/>
      <c r="I403" s="14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3"/>
      <c r="B404" s="75"/>
      <c r="C404" s="159"/>
      <c r="D404" s="147"/>
      <c r="E404" s="147"/>
      <c r="F404" s="3"/>
      <c r="G404" s="147"/>
      <c r="H404" s="64"/>
      <c r="I404" s="14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3"/>
      <c r="B405" s="75"/>
      <c r="C405" s="159"/>
      <c r="D405" s="147"/>
      <c r="E405" s="147"/>
      <c r="F405" s="3"/>
      <c r="G405" s="147"/>
      <c r="H405" s="64"/>
      <c r="I405" s="14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3"/>
      <c r="B406" s="75"/>
      <c r="C406" s="159"/>
      <c r="D406" s="147"/>
      <c r="E406" s="147"/>
      <c r="F406" s="3"/>
      <c r="G406" s="147"/>
      <c r="H406" s="64"/>
      <c r="I406" s="14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3"/>
      <c r="B407" s="75"/>
      <c r="C407" s="159"/>
      <c r="D407" s="147"/>
      <c r="E407" s="147"/>
      <c r="F407" s="3"/>
      <c r="G407" s="147"/>
      <c r="H407" s="64"/>
      <c r="I407" s="14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3"/>
      <c r="B408" s="75"/>
      <c r="C408" s="159"/>
      <c r="D408" s="147"/>
      <c r="E408" s="147"/>
      <c r="F408" s="3"/>
      <c r="G408" s="147"/>
      <c r="H408" s="64"/>
      <c r="I408" s="14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3"/>
      <c r="B409" s="75"/>
      <c r="C409" s="159"/>
      <c r="D409" s="147"/>
      <c r="E409" s="147"/>
      <c r="F409" s="3"/>
      <c r="G409" s="147"/>
      <c r="H409" s="64"/>
      <c r="I409" s="14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3"/>
      <c r="B410" s="75"/>
      <c r="C410" s="159"/>
      <c r="D410" s="147"/>
      <c r="E410" s="147"/>
      <c r="F410" s="3"/>
      <c r="G410" s="147"/>
      <c r="H410" s="64"/>
      <c r="I410" s="14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160"/>
      <c r="B411" s="147"/>
      <c r="C411" s="147"/>
      <c r="D411" s="147"/>
      <c r="E411" s="147"/>
      <c r="F411" s="147"/>
      <c r="G411" s="147"/>
      <c r="H411" s="147"/>
      <c r="I411" s="14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160"/>
      <c r="B412" s="147"/>
      <c r="C412" s="147"/>
      <c r="D412" s="147"/>
      <c r="E412" s="147"/>
      <c r="F412" s="147"/>
      <c r="G412" s="147"/>
      <c r="H412" s="147"/>
      <c r="I412" s="14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160"/>
      <c r="B413" s="147"/>
      <c r="C413" s="147"/>
      <c r="D413" s="147"/>
      <c r="E413" s="147"/>
      <c r="F413" s="147"/>
      <c r="G413" s="147"/>
      <c r="H413" s="147"/>
      <c r="I413" s="14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160"/>
      <c r="B414" s="147"/>
      <c r="C414" s="147"/>
      <c r="D414" s="147"/>
      <c r="E414" s="147"/>
      <c r="F414" s="147"/>
      <c r="G414" s="147"/>
      <c r="H414" s="147"/>
      <c r="I414" s="14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160"/>
      <c r="B415" s="147"/>
      <c r="C415" s="147"/>
      <c r="D415" s="147"/>
      <c r="E415" s="147"/>
      <c r="F415" s="147"/>
      <c r="G415" s="147"/>
      <c r="H415" s="147"/>
      <c r="I415" s="14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160"/>
      <c r="B416" s="147"/>
      <c r="C416" s="147"/>
      <c r="D416" s="147"/>
      <c r="E416" s="147"/>
      <c r="F416" s="147"/>
      <c r="G416" s="147"/>
      <c r="H416" s="147"/>
      <c r="I416" s="14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160"/>
      <c r="B417" s="147"/>
      <c r="C417" s="147"/>
      <c r="D417" s="147"/>
      <c r="E417" s="147"/>
      <c r="F417" s="147"/>
      <c r="G417" s="147"/>
      <c r="H417" s="147"/>
      <c r="I417" s="14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160"/>
      <c r="B418" s="147"/>
      <c r="C418" s="147"/>
      <c r="D418" s="147"/>
      <c r="E418" s="147"/>
      <c r="F418" s="147"/>
      <c r="G418" s="147"/>
      <c r="H418" s="147"/>
      <c r="I418" s="14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160"/>
      <c r="B419" s="147"/>
      <c r="C419" s="147"/>
      <c r="D419" s="147"/>
      <c r="E419" s="147"/>
      <c r="F419" s="147"/>
      <c r="G419" s="147"/>
      <c r="H419" s="147"/>
      <c r="I419" s="14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160"/>
      <c r="B420" s="147"/>
      <c r="C420" s="147"/>
      <c r="D420" s="147"/>
      <c r="E420" s="147"/>
      <c r="F420" s="147"/>
      <c r="G420" s="147"/>
      <c r="H420" s="147"/>
      <c r="I420" s="14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160"/>
      <c r="B421" s="147"/>
      <c r="C421" s="147"/>
      <c r="D421" s="147"/>
      <c r="E421" s="147"/>
      <c r="F421" s="147"/>
      <c r="G421" s="147"/>
      <c r="H421" s="147"/>
      <c r="I421" s="14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160"/>
      <c r="B422" s="147"/>
      <c r="C422" s="147"/>
      <c r="D422" s="147"/>
      <c r="E422" s="147"/>
      <c r="F422" s="147"/>
      <c r="G422" s="147"/>
      <c r="H422" s="147"/>
      <c r="I422" s="14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160"/>
      <c r="B423" s="147"/>
      <c r="C423" s="147"/>
      <c r="D423" s="147"/>
      <c r="E423" s="147"/>
      <c r="F423" s="147"/>
      <c r="G423" s="147"/>
      <c r="H423" s="147"/>
      <c r="I423" s="14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160"/>
      <c r="B424" s="147"/>
      <c r="C424" s="147"/>
      <c r="D424" s="147"/>
      <c r="E424" s="147"/>
      <c r="F424" s="147"/>
      <c r="G424" s="147"/>
      <c r="H424" s="147"/>
      <c r="I424" s="14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160"/>
      <c r="B425" s="147"/>
      <c r="C425" s="147"/>
      <c r="D425" s="147"/>
      <c r="E425" s="147"/>
      <c r="F425" s="147"/>
      <c r="G425" s="147"/>
      <c r="H425" s="147"/>
      <c r="I425" s="14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160"/>
      <c r="B426" s="147"/>
      <c r="C426" s="147"/>
      <c r="D426" s="147"/>
      <c r="E426" s="147"/>
      <c r="F426" s="147"/>
      <c r="G426" s="147"/>
      <c r="H426" s="147"/>
      <c r="I426" s="14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160"/>
      <c r="B427" s="147"/>
      <c r="C427" s="147"/>
      <c r="D427" s="147"/>
      <c r="E427" s="147"/>
      <c r="F427" s="147"/>
      <c r="G427" s="147"/>
      <c r="H427" s="147"/>
      <c r="I427" s="14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160"/>
      <c r="B428" s="147"/>
      <c r="C428" s="147"/>
      <c r="D428" s="147"/>
      <c r="E428" s="147"/>
      <c r="F428" s="147"/>
      <c r="G428" s="147"/>
      <c r="H428" s="147"/>
      <c r="I428" s="14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160"/>
      <c r="B429" s="147"/>
      <c r="C429" s="147"/>
      <c r="D429" s="147"/>
      <c r="E429" s="147"/>
      <c r="F429" s="147"/>
      <c r="G429" s="147"/>
      <c r="H429" s="147"/>
      <c r="I429" s="14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160"/>
      <c r="B430" s="147"/>
      <c r="C430" s="147"/>
      <c r="D430" s="147"/>
      <c r="E430" s="147"/>
      <c r="F430" s="147"/>
      <c r="G430" s="147"/>
      <c r="H430" s="147"/>
      <c r="I430" s="14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160"/>
      <c r="B431" s="147"/>
      <c r="C431" s="147"/>
      <c r="D431" s="147"/>
      <c r="E431" s="147"/>
      <c r="F431" s="147"/>
      <c r="G431" s="147"/>
      <c r="H431" s="147"/>
      <c r="I431" s="14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160"/>
      <c r="B432" s="147"/>
      <c r="C432" s="147"/>
      <c r="D432" s="147"/>
      <c r="E432" s="147"/>
      <c r="F432" s="147"/>
      <c r="G432" s="147"/>
      <c r="H432" s="147"/>
      <c r="I432" s="14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160"/>
      <c r="B433" s="147"/>
      <c r="C433" s="147"/>
      <c r="D433" s="147"/>
      <c r="E433" s="147"/>
      <c r="F433" s="147"/>
      <c r="G433" s="147"/>
      <c r="H433" s="147"/>
      <c r="I433" s="14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160"/>
      <c r="B434" s="147"/>
      <c r="C434" s="147"/>
      <c r="D434" s="147"/>
      <c r="E434" s="147"/>
      <c r="F434" s="147"/>
      <c r="G434" s="147"/>
      <c r="H434" s="147"/>
      <c r="I434" s="14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160"/>
      <c r="B435" s="147"/>
      <c r="C435" s="147"/>
      <c r="D435" s="147"/>
      <c r="E435" s="147"/>
      <c r="F435" s="147"/>
      <c r="G435" s="147"/>
      <c r="H435" s="147"/>
      <c r="I435" s="14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160"/>
      <c r="B436" s="147"/>
      <c r="C436" s="147"/>
      <c r="D436" s="147"/>
      <c r="E436" s="147"/>
      <c r="F436" s="147"/>
      <c r="G436" s="147"/>
      <c r="H436" s="147"/>
      <c r="I436" s="14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160"/>
      <c r="B437" s="147"/>
      <c r="C437" s="147"/>
      <c r="D437" s="147"/>
      <c r="E437" s="147"/>
      <c r="F437" s="147"/>
      <c r="G437" s="147"/>
      <c r="H437" s="147"/>
      <c r="I437" s="14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160"/>
      <c r="B438" s="147"/>
      <c r="C438" s="147"/>
      <c r="D438" s="147"/>
      <c r="E438" s="147"/>
      <c r="F438" s="147"/>
      <c r="G438" s="147"/>
      <c r="H438" s="147"/>
      <c r="I438" s="14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160"/>
      <c r="B439" s="147"/>
      <c r="C439" s="147"/>
      <c r="D439" s="147"/>
      <c r="E439" s="147"/>
      <c r="F439" s="147"/>
      <c r="G439" s="147"/>
      <c r="H439" s="147"/>
      <c r="I439" s="14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160"/>
      <c r="B440" s="147"/>
      <c r="C440" s="147"/>
      <c r="D440" s="147"/>
      <c r="E440" s="147"/>
      <c r="F440" s="147"/>
      <c r="G440" s="147"/>
      <c r="H440" s="147"/>
      <c r="I440" s="14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160"/>
      <c r="B441" s="147"/>
      <c r="C441" s="147"/>
      <c r="D441" s="147"/>
      <c r="E441" s="147"/>
      <c r="F441" s="147"/>
      <c r="G441" s="147"/>
      <c r="H441" s="147"/>
      <c r="I441" s="14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160"/>
      <c r="B442" s="147"/>
      <c r="C442" s="147"/>
      <c r="D442" s="147"/>
      <c r="E442" s="147"/>
      <c r="F442" s="147"/>
      <c r="G442" s="147"/>
      <c r="H442" s="147"/>
      <c r="I442" s="14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160"/>
      <c r="B443" s="147"/>
      <c r="C443" s="147"/>
      <c r="D443" s="147"/>
      <c r="E443" s="147"/>
      <c r="F443" s="147"/>
      <c r="G443" s="147"/>
      <c r="H443" s="147"/>
      <c r="I443" s="14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160"/>
      <c r="B444" s="147"/>
      <c r="C444" s="147"/>
      <c r="D444" s="147"/>
      <c r="E444" s="147"/>
      <c r="F444" s="147"/>
      <c r="G444" s="147"/>
      <c r="H444" s="147"/>
      <c r="I444" s="14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160"/>
      <c r="B445" s="147"/>
      <c r="C445" s="147"/>
      <c r="D445" s="147"/>
      <c r="E445" s="147"/>
      <c r="F445" s="147"/>
      <c r="G445" s="147"/>
      <c r="H445" s="147"/>
      <c r="I445" s="14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160"/>
      <c r="B446" s="147"/>
      <c r="C446" s="147"/>
      <c r="D446" s="147"/>
      <c r="E446" s="147"/>
      <c r="F446" s="147"/>
      <c r="G446" s="147"/>
      <c r="H446" s="147"/>
      <c r="I446" s="14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160"/>
      <c r="B447" s="147"/>
      <c r="C447" s="147"/>
      <c r="D447" s="147"/>
      <c r="E447" s="147"/>
      <c r="F447" s="147"/>
      <c r="G447" s="147"/>
      <c r="H447" s="147"/>
      <c r="I447" s="14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160"/>
      <c r="B448" s="147"/>
      <c r="C448" s="147"/>
      <c r="D448" s="147"/>
      <c r="E448" s="147"/>
      <c r="F448" s="147"/>
      <c r="G448" s="147"/>
      <c r="H448" s="147"/>
      <c r="I448" s="14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160"/>
      <c r="B449" s="147"/>
      <c r="C449" s="147"/>
      <c r="D449" s="147"/>
      <c r="E449" s="147"/>
      <c r="F449" s="147"/>
      <c r="G449" s="147"/>
      <c r="H449" s="147"/>
      <c r="I449" s="14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160"/>
      <c r="B450" s="147"/>
      <c r="C450" s="147"/>
      <c r="D450" s="147"/>
      <c r="E450" s="147"/>
      <c r="F450" s="147"/>
      <c r="G450" s="147"/>
      <c r="H450" s="147"/>
      <c r="I450" s="14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160"/>
      <c r="B451" s="147"/>
      <c r="C451" s="147"/>
      <c r="D451" s="147"/>
      <c r="E451" s="147"/>
      <c r="F451" s="147"/>
      <c r="G451" s="147"/>
      <c r="H451" s="147"/>
      <c r="I451" s="14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160"/>
      <c r="B452" s="147"/>
      <c r="C452" s="147"/>
      <c r="D452" s="147"/>
      <c r="E452" s="147"/>
      <c r="F452" s="147"/>
      <c r="G452" s="147"/>
      <c r="H452" s="147"/>
      <c r="I452" s="14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160"/>
      <c r="B453" s="147"/>
      <c r="C453" s="147"/>
      <c r="D453" s="147"/>
      <c r="E453" s="147"/>
      <c r="F453" s="147"/>
      <c r="G453" s="147"/>
      <c r="H453" s="147"/>
      <c r="I453" s="14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160"/>
      <c r="B454" s="147"/>
      <c r="C454" s="147"/>
      <c r="D454" s="147"/>
      <c r="E454" s="147"/>
      <c r="F454" s="147"/>
      <c r="G454" s="147"/>
      <c r="H454" s="147"/>
      <c r="I454" s="14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160"/>
      <c r="B455" s="147"/>
      <c r="C455" s="147"/>
      <c r="D455" s="147"/>
      <c r="E455" s="147"/>
      <c r="F455" s="147"/>
      <c r="G455" s="147"/>
      <c r="H455" s="147"/>
      <c r="I455" s="14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160"/>
      <c r="B456" s="147"/>
      <c r="C456" s="147"/>
      <c r="D456" s="147"/>
      <c r="E456" s="147"/>
      <c r="F456" s="147"/>
      <c r="G456" s="147"/>
      <c r="H456" s="147"/>
      <c r="I456" s="14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160"/>
      <c r="B457" s="147"/>
      <c r="C457" s="147"/>
      <c r="D457" s="147"/>
      <c r="E457" s="147"/>
      <c r="F457" s="147"/>
      <c r="G457" s="147"/>
      <c r="H457" s="147"/>
      <c r="I457" s="14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160"/>
      <c r="B458" s="147"/>
      <c r="C458" s="147"/>
      <c r="D458" s="147"/>
      <c r="E458" s="147"/>
      <c r="F458" s="147"/>
      <c r="G458" s="147"/>
      <c r="H458" s="147"/>
      <c r="I458" s="14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160"/>
      <c r="B459" s="147"/>
      <c r="C459" s="147"/>
      <c r="D459" s="147"/>
      <c r="E459" s="147"/>
      <c r="F459" s="147"/>
      <c r="G459" s="70"/>
      <c r="H459" s="147"/>
      <c r="I459" s="14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160"/>
      <c r="B460" s="147"/>
      <c r="C460" s="147"/>
      <c r="D460" s="147"/>
      <c r="E460" s="147"/>
      <c r="F460" s="147"/>
      <c r="G460" s="147"/>
      <c r="H460" s="147"/>
      <c r="I460" s="14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160"/>
      <c r="B461" s="147"/>
      <c r="C461" s="147"/>
      <c r="D461" s="147"/>
      <c r="E461" s="147"/>
      <c r="F461" s="147"/>
      <c r="G461" s="147"/>
      <c r="H461" s="147"/>
      <c r="I461" s="14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160"/>
      <c r="B462" s="147"/>
      <c r="C462" s="147"/>
      <c r="D462" s="147"/>
      <c r="E462" s="147"/>
      <c r="F462" s="147"/>
      <c r="G462" s="147"/>
      <c r="H462" s="147"/>
      <c r="I462" s="14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160"/>
      <c r="B463" s="147"/>
      <c r="C463" s="147"/>
      <c r="D463" s="147"/>
      <c r="E463" s="147"/>
      <c r="F463" s="147"/>
      <c r="G463" s="147"/>
      <c r="H463" s="147"/>
      <c r="I463" s="14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160"/>
      <c r="B464" s="147"/>
      <c r="C464" s="147"/>
      <c r="D464" s="147"/>
      <c r="E464" s="147"/>
      <c r="F464" s="147"/>
      <c r="G464" s="147"/>
      <c r="H464" s="147"/>
      <c r="I464" s="14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160"/>
      <c r="B465" s="147"/>
      <c r="C465" s="147"/>
      <c r="D465" s="147"/>
      <c r="E465" s="147"/>
      <c r="F465" s="147"/>
      <c r="G465" s="70"/>
      <c r="H465" s="147"/>
      <c r="I465" s="14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160"/>
      <c r="B466" s="147"/>
      <c r="C466" s="147"/>
      <c r="D466" s="147"/>
      <c r="E466" s="147"/>
      <c r="F466" s="147"/>
      <c r="G466" s="70"/>
      <c r="H466" s="147"/>
      <c r="I466" s="14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160"/>
      <c r="B467" s="147"/>
      <c r="C467" s="147"/>
      <c r="D467" s="147"/>
      <c r="E467" s="147"/>
      <c r="F467" s="147"/>
      <c r="G467" s="147"/>
      <c r="H467" s="147"/>
      <c r="I467" s="14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160"/>
      <c r="B468" s="147"/>
      <c r="C468" s="147"/>
      <c r="D468" s="147"/>
      <c r="E468" s="147"/>
      <c r="F468" s="147"/>
      <c r="G468" s="70"/>
      <c r="H468" s="147"/>
      <c r="I468" s="14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160"/>
      <c r="B469" s="147"/>
      <c r="C469" s="147"/>
      <c r="D469" s="147"/>
      <c r="E469" s="147"/>
      <c r="F469" s="147"/>
      <c r="G469" s="70"/>
      <c r="H469" s="147"/>
      <c r="I469" s="14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160"/>
      <c r="B470" s="147"/>
      <c r="C470" s="147"/>
      <c r="D470" s="147"/>
      <c r="E470" s="147"/>
      <c r="F470" s="147"/>
      <c r="G470" s="147"/>
      <c r="H470" s="147"/>
      <c r="I470" s="14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160"/>
      <c r="B471" s="147"/>
      <c r="C471" s="147"/>
      <c r="D471" s="147"/>
      <c r="E471" s="147"/>
      <c r="F471" s="147"/>
      <c r="G471" s="147"/>
      <c r="H471" s="147"/>
      <c r="I471" s="14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160"/>
      <c r="B472" s="147"/>
      <c r="C472" s="147"/>
      <c r="D472" s="147"/>
      <c r="E472" s="147"/>
      <c r="F472" s="147"/>
      <c r="G472" s="147"/>
      <c r="H472" s="147"/>
      <c r="I472" s="14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160"/>
      <c r="B473" s="147"/>
      <c r="C473" s="147"/>
      <c r="D473" s="147"/>
      <c r="E473" s="147"/>
      <c r="F473" s="147"/>
      <c r="G473" s="147"/>
      <c r="H473" s="147"/>
      <c r="I473" s="14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160"/>
      <c r="B474" s="147"/>
      <c r="C474" s="147"/>
      <c r="D474" s="147"/>
      <c r="E474" s="147"/>
      <c r="F474" s="147"/>
      <c r="G474" s="147"/>
      <c r="H474" s="147"/>
      <c r="I474" s="14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160"/>
      <c r="B475" s="147"/>
      <c r="C475" s="147"/>
      <c r="D475" s="147"/>
      <c r="E475" s="147"/>
      <c r="F475" s="147"/>
      <c r="G475" s="70"/>
      <c r="H475" s="147"/>
      <c r="I475" s="14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160"/>
      <c r="B476" s="147"/>
      <c r="C476" s="147"/>
      <c r="D476" s="147"/>
      <c r="E476" s="147"/>
      <c r="F476" s="147"/>
      <c r="G476" s="147"/>
      <c r="H476" s="147"/>
      <c r="I476" s="14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160"/>
      <c r="B477" s="147"/>
      <c r="C477" s="147"/>
      <c r="D477" s="147"/>
      <c r="E477" s="147"/>
      <c r="F477" s="147"/>
      <c r="G477" s="147"/>
      <c r="H477" s="147"/>
      <c r="I477" s="14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160"/>
      <c r="B478" s="147"/>
      <c r="C478" s="147"/>
      <c r="D478" s="147"/>
      <c r="E478" s="147"/>
      <c r="F478" s="147"/>
      <c r="G478" s="147"/>
      <c r="H478" s="147"/>
      <c r="I478" s="14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160"/>
      <c r="B479" s="147"/>
      <c r="C479" s="147"/>
      <c r="D479" s="147"/>
      <c r="E479" s="147"/>
      <c r="F479" s="147"/>
      <c r="G479" s="147"/>
      <c r="H479" s="147"/>
      <c r="I479" s="14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160"/>
      <c r="B480" s="147"/>
      <c r="C480" s="147"/>
      <c r="D480" s="147"/>
      <c r="E480" s="147"/>
      <c r="F480" s="147"/>
      <c r="G480" s="147"/>
      <c r="H480" s="147"/>
      <c r="I480" s="14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160"/>
      <c r="B481" s="147"/>
      <c r="C481" s="147"/>
      <c r="D481" s="147"/>
      <c r="E481" s="147"/>
      <c r="F481" s="147"/>
      <c r="G481" s="147"/>
      <c r="H481" s="147"/>
      <c r="I481" s="14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160"/>
      <c r="B482" s="147"/>
      <c r="C482" s="147"/>
      <c r="D482" s="147"/>
      <c r="E482" s="147"/>
      <c r="F482" s="147"/>
      <c r="G482" s="70"/>
      <c r="H482" s="147"/>
      <c r="I482" s="14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160"/>
      <c r="B483" s="147"/>
      <c r="C483" s="147"/>
      <c r="D483" s="147"/>
      <c r="E483" s="147"/>
      <c r="F483" s="147"/>
      <c r="G483" s="147"/>
      <c r="H483" s="147"/>
      <c r="I483" s="14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160"/>
      <c r="B484" s="147"/>
      <c r="C484" s="147"/>
      <c r="D484" s="147"/>
      <c r="E484" s="147"/>
      <c r="F484" s="147"/>
      <c r="G484" s="147"/>
      <c r="H484" s="147"/>
      <c r="I484" s="14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160"/>
      <c r="B485" s="147"/>
      <c r="C485" s="147"/>
      <c r="D485" s="147"/>
      <c r="E485" s="147"/>
      <c r="F485" s="147"/>
      <c r="G485" s="147"/>
      <c r="H485" s="147"/>
      <c r="I485" s="14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160"/>
      <c r="B486" s="147"/>
      <c r="C486" s="147"/>
      <c r="D486" s="147"/>
      <c r="E486" s="147"/>
      <c r="F486" s="147"/>
      <c r="G486" s="70"/>
      <c r="H486" s="147"/>
      <c r="I486" s="14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160"/>
      <c r="B487" s="147"/>
      <c r="C487" s="147"/>
      <c r="D487" s="147"/>
      <c r="E487" s="147"/>
      <c r="F487" s="147"/>
      <c r="G487" s="147"/>
      <c r="H487" s="147"/>
      <c r="I487" s="14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160"/>
      <c r="B488" s="147"/>
      <c r="C488" s="147"/>
      <c r="D488" s="147"/>
      <c r="E488" s="147"/>
      <c r="F488" s="147"/>
      <c r="G488" s="70"/>
      <c r="H488" s="147"/>
      <c r="I488" s="14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160"/>
      <c r="B489" s="147"/>
      <c r="C489" s="147"/>
      <c r="D489" s="147"/>
      <c r="E489" s="147"/>
      <c r="F489" s="147"/>
      <c r="G489" s="147"/>
      <c r="H489" s="147"/>
      <c r="I489" s="14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160"/>
      <c r="B490" s="147"/>
      <c r="C490" s="147"/>
      <c r="D490" s="147"/>
      <c r="E490" s="147"/>
      <c r="F490" s="147"/>
      <c r="G490" s="147"/>
      <c r="H490" s="147"/>
      <c r="I490" s="14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160"/>
      <c r="B491" s="147"/>
      <c r="C491" s="147"/>
      <c r="D491" s="147"/>
      <c r="E491" s="147"/>
      <c r="F491" s="147"/>
      <c r="G491" s="70"/>
      <c r="H491" s="147"/>
      <c r="I491" s="14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160"/>
      <c r="B492" s="147"/>
      <c r="C492" s="147"/>
      <c r="D492" s="147"/>
      <c r="E492" s="147"/>
      <c r="F492" s="147"/>
      <c r="G492" s="70"/>
      <c r="H492" s="147"/>
      <c r="I492" s="14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160"/>
      <c r="B493" s="147"/>
      <c r="C493" s="147"/>
      <c r="D493" s="147"/>
      <c r="E493" s="147"/>
      <c r="F493" s="147"/>
      <c r="G493" s="70"/>
      <c r="H493" s="147"/>
      <c r="I493" s="14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160"/>
      <c r="B494" s="147"/>
      <c r="C494" s="147"/>
      <c r="D494" s="147"/>
      <c r="E494" s="147"/>
      <c r="F494" s="147"/>
      <c r="G494" s="147"/>
      <c r="H494" s="147"/>
      <c r="I494" s="14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160"/>
      <c r="B495" s="147"/>
      <c r="C495" s="147"/>
      <c r="D495" s="147"/>
      <c r="E495" s="147"/>
      <c r="F495" s="147"/>
      <c r="G495" s="147"/>
      <c r="H495" s="147"/>
      <c r="I495" s="14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160"/>
      <c r="B496" s="147"/>
      <c r="C496" s="147"/>
      <c r="D496" s="147"/>
      <c r="E496" s="147"/>
      <c r="F496" s="147"/>
      <c r="G496" s="147"/>
      <c r="H496" s="147"/>
      <c r="I496" s="14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160"/>
      <c r="B497" s="147"/>
      <c r="C497" s="147"/>
      <c r="D497" s="147"/>
      <c r="E497" s="147"/>
      <c r="F497" s="147"/>
      <c r="G497" s="147"/>
      <c r="H497" s="147"/>
      <c r="I497" s="14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160"/>
      <c r="B498" s="147"/>
      <c r="C498" s="147"/>
      <c r="D498" s="147"/>
      <c r="E498" s="147"/>
      <c r="F498" s="147"/>
      <c r="G498" s="147"/>
      <c r="H498" s="147"/>
      <c r="I498" s="14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160"/>
      <c r="B499" s="147"/>
      <c r="C499" s="147"/>
      <c r="D499" s="147"/>
      <c r="E499" s="147"/>
      <c r="F499" s="147"/>
      <c r="G499" s="147"/>
      <c r="H499" s="147"/>
      <c r="I499" s="14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160"/>
      <c r="B500" s="147"/>
      <c r="C500" s="147"/>
      <c r="D500" s="147"/>
      <c r="E500" s="147"/>
      <c r="F500" s="147"/>
      <c r="G500" s="147"/>
      <c r="H500" s="147"/>
      <c r="I500" s="14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160"/>
      <c r="B501" s="147"/>
      <c r="C501" s="147"/>
      <c r="D501" s="147"/>
      <c r="E501" s="147"/>
      <c r="F501" s="147"/>
      <c r="G501" s="70"/>
      <c r="H501" s="147"/>
      <c r="I501" s="14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160"/>
      <c r="B502" s="147"/>
      <c r="C502" s="147"/>
      <c r="D502" s="147"/>
      <c r="E502" s="147"/>
      <c r="F502" s="147"/>
      <c r="G502" s="147"/>
      <c r="H502" s="147"/>
      <c r="I502" s="14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160"/>
      <c r="B503" s="147"/>
      <c r="C503" s="147"/>
      <c r="D503" s="147"/>
      <c r="E503" s="147"/>
      <c r="F503" s="147"/>
      <c r="G503" s="147"/>
      <c r="H503" s="147"/>
      <c r="I503" s="14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160"/>
      <c r="B504" s="147"/>
      <c r="C504" s="147"/>
      <c r="D504" s="147"/>
      <c r="E504" s="147"/>
      <c r="F504" s="147"/>
      <c r="G504" s="147"/>
      <c r="H504" s="147"/>
      <c r="I504" s="14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160"/>
      <c r="B505" s="147"/>
      <c r="C505" s="147"/>
      <c r="D505" s="147"/>
      <c r="E505" s="147"/>
      <c r="F505" s="147"/>
      <c r="G505" s="70"/>
      <c r="H505" s="147"/>
      <c r="I505" s="14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160"/>
      <c r="B506" s="147"/>
      <c r="C506" s="147"/>
      <c r="D506" s="147"/>
      <c r="E506" s="147"/>
      <c r="F506" s="147"/>
      <c r="G506" s="147"/>
      <c r="H506" s="147"/>
      <c r="I506" s="14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160"/>
      <c r="B507" s="147"/>
      <c r="C507" s="147"/>
      <c r="D507" s="147"/>
      <c r="E507" s="147"/>
      <c r="F507" s="147"/>
      <c r="G507" s="147"/>
      <c r="H507" s="147"/>
      <c r="I507" s="14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160"/>
      <c r="B508" s="147"/>
      <c r="C508" s="147"/>
      <c r="D508" s="147"/>
      <c r="E508" s="147"/>
      <c r="F508" s="147"/>
      <c r="G508" s="147"/>
      <c r="H508" s="147"/>
      <c r="I508" s="14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160"/>
      <c r="B509" s="147"/>
      <c r="C509" s="147"/>
      <c r="D509" s="147"/>
      <c r="E509" s="147"/>
      <c r="F509" s="147"/>
      <c r="G509" s="147"/>
      <c r="H509" s="147"/>
      <c r="I509" s="14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160"/>
      <c r="B510" s="147"/>
      <c r="C510" s="147"/>
      <c r="D510" s="147"/>
      <c r="E510" s="147"/>
      <c r="F510" s="147"/>
      <c r="G510" s="70"/>
      <c r="H510" s="147"/>
      <c r="I510" s="14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160"/>
      <c r="B511" s="147"/>
      <c r="C511" s="147"/>
      <c r="D511" s="147"/>
      <c r="E511" s="147"/>
      <c r="F511" s="147"/>
      <c r="G511" s="70"/>
      <c r="H511" s="147"/>
      <c r="I511" s="14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160"/>
      <c r="B512" s="147"/>
      <c r="C512" s="147"/>
      <c r="D512" s="147"/>
      <c r="E512" s="147"/>
      <c r="F512" s="147"/>
      <c r="G512" s="147"/>
      <c r="H512" s="147"/>
      <c r="I512" s="14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160"/>
      <c r="B513" s="147"/>
      <c r="C513" s="147"/>
      <c r="D513" s="147"/>
      <c r="E513" s="147"/>
      <c r="F513" s="147"/>
      <c r="G513" s="147"/>
      <c r="H513" s="147"/>
      <c r="I513" s="14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160"/>
      <c r="B514" s="147"/>
      <c r="C514" s="147"/>
      <c r="D514" s="147"/>
      <c r="E514" s="147"/>
      <c r="F514" s="147"/>
      <c r="G514" s="147"/>
      <c r="H514" s="147"/>
      <c r="I514" s="14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160"/>
      <c r="B515" s="147"/>
      <c r="C515" s="147"/>
      <c r="D515" s="147"/>
      <c r="E515" s="147"/>
      <c r="F515" s="147"/>
      <c r="G515" s="70"/>
      <c r="H515" s="147"/>
      <c r="I515" s="14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160"/>
      <c r="B516" s="147"/>
      <c r="C516" s="147"/>
      <c r="D516" s="147"/>
      <c r="E516" s="147"/>
      <c r="F516" s="147"/>
      <c r="G516" s="147"/>
      <c r="H516" s="147"/>
      <c r="I516" s="14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160"/>
      <c r="B517" s="147"/>
      <c r="C517" s="147"/>
      <c r="D517" s="147"/>
      <c r="E517" s="147"/>
      <c r="F517" s="147"/>
      <c r="G517" s="147"/>
      <c r="H517" s="147"/>
      <c r="I517" s="14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160"/>
      <c r="B518" s="147"/>
      <c r="C518" s="147"/>
      <c r="D518" s="147"/>
      <c r="E518" s="147"/>
      <c r="F518" s="147"/>
      <c r="G518" s="70"/>
      <c r="H518" s="147"/>
      <c r="I518" s="14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160"/>
      <c r="B519" s="147"/>
      <c r="C519" s="147"/>
      <c r="D519" s="147"/>
      <c r="E519" s="147"/>
      <c r="F519" s="147"/>
      <c r="G519" s="147"/>
      <c r="H519" s="147"/>
      <c r="I519" s="14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160"/>
      <c r="B520" s="147"/>
      <c r="C520" s="147"/>
      <c r="D520" s="147"/>
      <c r="E520" s="147"/>
      <c r="F520" s="147"/>
      <c r="G520" s="70"/>
      <c r="H520" s="147"/>
      <c r="I520" s="14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160"/>
      <c r="B521" s="147"/>
      <c r="C521" s="147"/>
      <c r="D521" s="147"/>
      <c r="E521" s="147"/>
      <c r="F521" s="147"/>
      <c r="G521" s="70"/>
      <c r="H521" s="147"/>
      <c r="I521" s="14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160"/>
      <c r="B522" s="147"/>
      <c r="C522" s="147"/>
      <c r="D522" s="147"/>
      <c r="E522" s="147"/>
      <c r="F522" s="147"/>
      <c r="G522" s="147"/>
      <c r="H522" s="147"/>
      <c r="I522" s="14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160"/>
      <c r="B523" s="147"/>
      <c r="C523" s="147"/>
      <c r="D523" s="147"/>
      <c r="E523" s="147"/>
      <c r="F523" s="147"/>
      <c r="G523" s="147"/>
      <c r="H523" s="147"/>
      <c r="I523" s="14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160"/>
      <c r="B524" s="147"/>
      <c r="C524" s="147"/>
      <c r="D524" s="147"/>
      <c r="E524" s="147"/>
      <c r="F524" s="147"/>
      <c r="G524" s="147"/>
      <c r="H524" s="147"/>
      <c r="I524" s="14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160"/>
      <c r="B525" s="147"/>
      <c r="C525" s="147"/>
      <c r="D525" s="147"/>
      <c r="E525" s="147"/>
      <c r="F525" s="147"/>
      <c r="G525" s="147"/>
      <c r="H525" s="147"/>
      <c r="I525" s="14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160"/>
      <c r="B526" s="147"/>
      <c r="C526" s="147"/>
      <c r="D526" s="147"/>
      <c r="E526" s="147"/>
      <c r="F526" s="147"/>
      <c r="G526" s="70"/>
      <c r="H526" s="147"/>
      <c r="I526" s="14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160"/>
      <c r="B527" s="147"/>
      <c r="C527" s="147"/>
      <c r="D527" s="147"/>
      <c r="E527" s="147"/>
      <c r="F527" s="147"/>
      <c r="G527" s="70"/>
      <c r="H527" s="147"/>
      <c r="I527" s="14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160"/>
      <c r="B528" s="147"/>
      <c r="C528" s="147"/>
      <c r="D528" s="147"/>
      <c r="E528" s="147"/>
      <c r="F528" s="147"/>
      <c r="G528" s="70"/>
      <c r="H528" s="147"/>
      <c r="I528" s="14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160"/>
      <c r="B529" s="147"/>
      <c r="C529" s="147"/>
      <c r="D529" s="147"/>
      <c r="E529" s="147"/>
      <c r="F529" s="147"/>
      <c r="G529" s="70"/>
      <c r="H529" s="147"/>
      <c r="I529" s="14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160"/>
      <c r="B530" s="147"/>
      <c r="C530" s="147"/>
      <c r="D530" s="147"/>
      <c r="E530" s="147"/>
      <c r="F530" s="147"/>
      <c r="G530" s="147"/>
      <c r="H530" s="147"/>
      <c r="I530" s="14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160"/>
      <c r="B531" s="147"/>
      <c r="C531" s="147"/>
      <c r="D531" s="147"/>
      <c r="E531" s="147"/>
      <c r="F531" s="147"/>
      <c r="G531" s="147"/>
      <c r="H531" s="147"/>
      <c r="I531" s="14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160"/>
      <c r="B532" s="147"/>
      <c r="C532" s="147"/>
      <c r="D532" s="147"/>
      <c r="E532" s="147"/>
      <c r="F532" s="147"/>
      <c r="G532" s="70"/>
      <c r="H532" s="147"/>
      <c r="I532" s="14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160"/>
      <c r="B533" s="147"/>
      <c r="C533" s="147"/>
      <c r="D533" s="147"/>
      <c r="E533" s="147"/>
      <c r="F533" s="147"/>
      <c r="G533" s="147"/>
      <c r="H533" s="147"/>
      <c r="I533" s="14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160"/>
      <c r="B534" s="147"/>
      <c r="C534" s="147"/>
      <c r="D534" s="147"/>
      <c r="E534" s="147"/>
      <c r="F534" s="147"/>
      <c r="G534" s="147"/>
      <c r="H534" s="147"/>
      <c r="I534" s="14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160"/>
      <c r="B535" s="147"/>
      <c r="C535" s="147"/>
      <c r="D535" s="147"/>
      <c r="E535" s="147"/>
      <c r="F535" s="147"/>
      <c r="G535" s="70"/>
      <c r="H535" s="147"/>
      <c r="I535" s="14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160"/>
      <c r="B536" s="147"/>
      <c r="C536" s="147"/>
      <c r="D536" s="147"/>
      <c r="E536" s="147"/>
      <c r="F536" s="147"/>
      <c r="G536" s="70"/>
      <c r="H536" s="147"/>
      <c r="I536" s="14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160"/>
      <c r="B537" s="147"/>
      <c r="C537" s="147"/>
      <c r="D537" s="147"/>
      <c r="E537" s="147"/>
      <c r="F537" s="147"/>
      <c r="G537" s="147"/>
      <c r="H537" s="147"/>
      <c r="I537" s="14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160"/>
      <c r="B538" s="147"/>
      <c r="C538" s="147"/>
      <c r="D538" s="147"/>
      <c r="E538" s="147"/>
      <c r="F538" s="147"/>
      <c r="G538" s="70"/>
      <c r="H538" s="147"/>
      <c r="I538" s="14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160"/>
      <c r="B539" s="147"/>
      <c r="C539" s="147"/>
      <c r="D539" s="147"/>
      <c r="E539" s="147"/>
      <c r="F539" s="147"/>
      <c r="G539" s="147"/>
      <c r="H539" s="147"/>
      <c r="I539" s="14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160"/>
      <c r="B540" s="147"/>
      <c r="C540" s="147"/>
      <c r="D540" s="147"/>
      <c r="E540" s="147"/>
      <c r="F540" s="147"/>
      <c r="G540" s="147"/>
      <c r="H540" s="147"/>
      <c r="I540" s="14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160"/>
      <c r="B541" s="147"/>
      <c r="C541" s="147"/>
      <c r="D541" s="147"/>
      <c r="E541" s="147"/>
      <c r="F541" s="147"/>
      <c r="G541" s="147"/>
      <c r="H541" s="147"/>
      <c r="I541" s="14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160"/>
      <c r="B542" s="147"/>
      <c r="C542" s="147"/>
      <c r="D542" s="147"/>
      <c r="E542" s="147"/>
      <c r="F542" s="147"/>
      <c r="G542" s="147"/>
      <c r="H542" s="147"/>
      <c r="I542" s="14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160"/>
      <c r="B543" s="147"/>
      <c r="C543" s="147"/>
      <c r="D543" s="147"/>
      <c r="E543" s="147"/>
      <c r="F543" s="147"/>
      <c r="G543" s="147"/>
      <c r="H543" s="147"/>
      <c r="I543" s="14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160"/>
      <c r="B544" s="147"/>
      <c r="C544" s="147"/>
      <c r="D544" s="147"/>
      <c r="E544" s="147"/>
      <c r="F544" s="147"/>
      <c r="G544" s="70"/>
      <c r="H544" s="147"/>
      <c r="I544" s="14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160"/>
      <c r="B545" s="147"/>
      <c r="C545" s="147"/>
      <c r="D545" s="147"/>
      <c r="E545" s="147"/>
      <c r="F545" s="147"/>
      <c r="G545" s="70"/>
      <c r="H545" s="147"/>
      <c r="I545" s="14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160"/>
      <c r="B546" s="147"/>
      <c r="C546" s="147"/>
      <c r="D546" s="147"/>
      <c r="E546" s="147"/>
      <c r="F546" s="147"/>
      <c r="G546" s="147"/>
      <c r="H546" s="147"/>
      <c r="I546" s="14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160"/>
      <c r="B547" s="147"/>
      <c r="C547" s="147"/>
      <c r="D547" s="147"/>
      <c r="E547" s="147"/>
      <c r="F547" s="147"/>
      <c r="G547" s="147"/>
      <c r="H547" s="147"/>
      <c r="I547" s="14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160"/>
      <c r="B548" s="147"/>
      <c r="C548" s="147"/>
      <c r="D548" s="147"/>
      <c r="E548" s="147"/>
      <c r="F548" s="147"/>
      <c r="G548" s="147"/>
      <c r="H548" s="147"/>
      <c r="I548" s="14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160"/>
      <c r="B549" s="147"/>
      <c r="C549" s="147"/>
      <c r="D549" s="147"/>
      <c r="E549" s="147"/>
      <c r="F549" s="147"/>
      <c r="G549" s="147"/>
      <c r="H549" s="147"/>
      <c r="I549" s="14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160"/>
      <c r="B550" s="147"/>
      <c r="C550" s="147"/>
      <c r="D550" s="147"/>
      <c r="E550" s="147"/>
      <c r="F550" s="147"/>
      <c r="G550" s="70"/>
      <c r="H550" s="147"/>
      <c r="I550" s="14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160"/>
      <c r="B551" s="147"/>
      <c r="C551" s="147"/>
      <c r="D551" s="147"/>
      <c r="E551" s="147"/>
      <c r="F551" s="147"/>
      <c r="G551" s="147"/>
      <c r="H551" s="147"/>
      <c r="I551" s="14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160"/>
      <c r="B552" s="147"/>
      <c r="C552" s="147"/>
      <c r="D552" s="147"/>
      <c r="E552" s="147"/>
      <c r="F552" s="147"/>
      <c r="G552" s="147"/>
      <c r="H552" s="147"/>
      <c r="I552" s="14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160"/>
      <c r="B553" s="147"/>
      <c r="C553" s="147"/>
      <c r="D553" s="147"/>
      <c r="E553" s="147"/>
      <c r="F553" s="147"/>
      <c r="G553" s="147"/>
      <c r="H553" s="147"/>
      <c r="I553" s="14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160"/>
      <c r="B554" s="147"/>
      <c r="C554" s="147"/>
      <c r="D554" s="147"/>
      <c r="E554" s="147"/>
      <c r="F554" s="147"/>
      <c r="G554" s="147"/>
      <c r="H554" s="147"/>
      <c r="I554" s="14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160"/>
      <c r="B555" s="147"/>
      <c r="C555" s="147"/>
      <c r="D555" s="147"/>
      <c r="E555" s="147"/>
      <c r="F555" s="147"/>
      <c r="G555" s="147"/>
      <c r="H555" s="147"/>
      <c r="I555" s="14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160"/>
      <c r="B556" s="147"/>
      <c r="C556" s="147"/>
      <c r="D556" s="147"/>
      <c r="E556" s="147"/>
      <c r="F556" s="147"/>
      <c r="G556" s="70"/>
      <c r="H556" s="147"/>
      <c r="I556" s="14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160"/>
      <c r="B557" s="147"/>
      <c r="C557" s="147"/>
      <c r="D557" s="147"/>
      <c r="E557" s="147"/>
      <c r="F557" s="147"/>
      <c r="G557" s="147"/>
      <c r="H557" s="147"/>
      <c r="I557" s="14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160"/>
      <c r="B558" s="147"/>
      <c r="C558" s="147"/>
      <c r="D558" s="147"/>
      <c r="E558" s="147"/>
      <c r="F558" s="147"/>
      <c r="G558" s="147"/>
      <c r="H558" s="147"/>
      <c r="I558" s="14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160"/>
      <c r="B559" s="147"/>
      <c r="C559" s="147"/>
      <c r="D559" s="147"/>
      <c r="E559" s="147"/>
      <c r="F559" s="147"/>
      <c r="G559" s="147"/>
      <c r="H559" s="147"/>
      <c r="I559" s="14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160"/>
      <c r="B560" s="147"/>
      <c r="C560" s="147"/>
      <c r="D560" s="147"/>
      <c r="E560" s="147"/>
      <c r="F560" s="147"/>
      <c r="G560" s="147"/>
      <c r="H560" s="147"/>
      <c r="I560" s="14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160"/>
      <c r="B561" s="147"/>
      <c r="C561" s="147"/>
      <c r="D561" s="147"/>
      <c r="E561" s="147"/>
      <c r="F561" s="147"/>
      <c r="G561" s="147"/>
      <c r="H561" s="147"/>
      <c r="I561" s="14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160"/>
      <c r="B562" s="147"/>
      <c r="C562" s="147"/>
      <c r="D562" s="147"/>
      <c r="E562" s="147"/>
      <c r="F562" s="147"/>
      <c r="G562" s="147"/>
      <c r="H562" s="147"/>
      <c r="I562" s="14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160"/>
      <c r="B563" s="147"/>
      <c r="C563" s="147"/>
      <c r="D563" s="147"/>
      <c r="E563" s="147"/>
      <c r="F563" s="147"/>
      <c r="G563" s="147"/>
      <c r="H563" s="147"/>
      <c r="I563" s="14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160"/>
      <c r="B564" s="147"/>
      <c r="C564" s="147"/>
      <c r="D564" s="147"/>
      <c r="E564" s="147"/>
      <c r="F564" s="147"/>
      <c r="G564" s="147"/>
      <c r="H564" s="147"/>
      <c r="I564" s="14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160"/>
      <c r="B565" s="147"/>
      <c r="C565" s="147"/>
      <c r="D565" s="147"/>
      <c r="E565" s="147"/>
      <c r="F565" s="147"/>
      <c r="G565" s="70"/>
      <c r="H565" s="147"/>
      <c r="I565" s="14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160"/>
      <c r="B566" s="147"/>
      <c r="C566" s="147"/>
      <c r="D566" s="147"/>
      <c r="E566" s="147"/>
      <c r="F566" s="147"/>
      <c r="G566" s="70"/>
      <c r="H566" s="147"/>
      <c r="I566" s="14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160"/>
      <c r="B567" s="147"/>
      <c r="C567" s="147"/>
      <c r="D567" s="147"/>
      <c r="E567" s="147"/>
      <c r="F567" s="147"/>
      <c r="G567" s="70"/>
      <c r="H567" s="147"/>
      <c r="I567" s="14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160"/>
      <c r="B568" s="147"/>
      <c r="C568" s="147"/>
      <c r="D568" s="147"/>
      <c r="E568" s="147"/>
      <c r="F568" s="147"/>
      <c r="G568" s="147"/>
      <c r="H568" s="147"/>
      <c r="I568" s="14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160"/>
      <c r="B569" s="147"/>
      <c r="C569" s="147"/>
      <c r="D569" s="147"/>
      <c r="E569" s="147"/>
      <c r="F569" s="147"/>
      <c r="G569" s="70"/>
      <c r="H569" s="147"/>
      <c r="I569" s="14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160"/>
      <c r="B570" s="147"/>
      <c r="C570" s="147"/>
      <c r="D570" s="147"/>
      <c r="E570" s="147"/>
      <c r="F570" s="147"/>
      <c r="G570" s="70"/>
      <c r="H570" s="147"/>
      <c r="I570" s="14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160"/>
      <c r="B571" s="147"/>
      <c r="C571" s="147"/>
      <c r="D571" s="147"/>
      <c r="E571" s="147"/>
      <c r="F571" s="147"/>
      <c r="G571" s="70"/>
      <c r="H571" s="147"/>
      <c r="I571" s="14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160"/>
      <c r="B572" s="147"/>
      <c r="C572" s="147"/>
      <c r="D572" s="147"/>
      <c r="E572" s="147"/>
      <c r="F572" s="147"/>
      <c r="G572" s="147"/>
      <c r="H572" s="147"/>
      <c r="I572" s="14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160"/>
      <c r="B573" s="147"/>
      <c r="C573" s="147"/>
      <c r="D573" s="147"/>
      <c r="E573" s="147"/>
      <c r="F573" s="147"/>
      <c r="G573" s="147"/>
      <c r="H573" s="147"/>
      <c r="I573" s="14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161"/>
      <c r="C574" s="4"/>
      <c r="D574" s="161"/>
      <c r="E574" s="162"/>
      <c r="F574" s="16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161"/>
      <c r="C575" s="4"/>
      <c r="D575" s="161"/>
      <c r="E575" s="162"/>
      <c r="F575" s="16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161"/>
      <c r="C576" s="4"/>
      <c r="D576" s="161"/>
      <c r="E576" s="162"/>
      <c r="F576" s="16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161"/>
      <c r="C577" s="4"/>
      <c r="D577" s="161"/>
      <c r="E577" s="162"/>
      <c r="F577" s="16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161"/>
      <c r="C578" s="4"/>
      <c r="D578" s="161"/>
      <c r="E578" s="162"/>
      <c r="F578" s="16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161"/>
      <c r="C579" s="4"/>
      <c r="D579" s="161"/>
      <c r="E579" s="162"/>
      <c r="F579" s="16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161"/>
      <c r="C580" s="4"/>
      <c r="D580" s="161"/>
      <c r="E580" s="162"/>
      <c r="F580" s="16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161"/>
      <c r="C581" s="4"/>
      <c r="D581" s="161"/>
      <c r="E581" s="162"/>
      <c r="F581" s="16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161"/>
      <c r="C582" s="4"/>
      <c r="D582" s="161"/>
      <c r="E582" s="162"/>
      <c r="F582" s="16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161"/>
      <c r="C583" s="4"/>
      <c r="D583" s="161"/>
      <c r="E583" s="162"/>
      <c r="F583" s="16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161"/>
      <c r="C584" s="4"/>
      <c r="D584" s="161"/>
      <c r="E584" s="162"/>
      <c r="F584" s="16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161"/>
      <c r="C585" s="4"/>
      <c r="D585" s="161"/>
      <c r="E585" s="162"/>
      <c r="F585" s="16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161"/>
      <c r="C586" s="4"/>
      <c r="D586" s="161"/>
      <c r="E586" s="162"/>
      <c r="F586" s="16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161"/>
      <c r="C587" s="4"/>
      <c r="D587" s="161"/>
      <c r="E587" s="162"/>
      <c r="F587" s="16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161"/>
      <c r="C588" s="4"/>
      <c r="D588" s="161"/>
      <c r="E588" s="162"/>
      <c r="F588" s="16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161"/>
      <c r="C589" s="4"/>
      <c r="D589" s="161"/>
      <c r="E589" s="162"/>
      <c r="F589" s="16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161"/>
      <c r="C590" s="4"/>
      <c r="D590" s="161"/>
      <c r="E590" s="162"/>
      <c r="F590" s="16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161"/>
      <c r="C591" s="4"/>
      <c r="D591" s="161"/>
      <c r="E591" s="162"/>
      <c r="F591" s="16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161"/>
      <c r="C592" s="4"/>
      <c r="D592" s="161"/>
      <c r="E592" s="162"/>
      <c r="F592" s="16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161"/>
      <c r="C593" s="4"/>
      <c r="D593" s="161"/>
      <c r="E593" s="162"/>
      <c r="F593" s="16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161"/>
      <c r="C594" s="4"/>
      <c r="D594" s="161"/>
      <c r="E594" s="162"/>
      <c r="F594" s="16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161"/>
      <c r="C595" s="4"/>
      <c r="D595" s="161"/>
      <c r="E595" s="162"/>
      <c r="F595" s="16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161"/>
      <c r="C596" s="4"/>
      <c r="D596" s="161"/>
      <c r="E596" s="162"/>
      <c r="F596" s="16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161"/>
      <c r="C597" s="4"/>
      <c r="D597" s="161"/>
      <c r="E597" s="162"/>
      <c r="F597" s="16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161"/>
      <c r="C598" s="4"/>
      <c r="D598" s="161"/>
      <c r="E598" s="162"/>
      <c r="F598" s="16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161"/>
      <c r="C599" s="4"/>
      <c r="D599" s="161"/>
      <c r="E599" s="162"/>
      <c r="F599" s="16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161"/>
      <c r="C600" s="4"/>
      <c r="D600" s="161"/>
      <c r="E600" s="162"/>
      <c r="F600" s="16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161"/>
      <c r="C601" s="4"/>
      <c r="D601" s="161"/>
      <c r="E601" s="162"/>
      <c r="F601" s="16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161"/>
      <c r="C602" s="4"/>
      <c r="D602" s="161"/>
      <c r="E602" s="162"/>
      <c r="F602" s="16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161"/>
      <c r="C603" s="4"/>
      <c r="D603" s="161"/>
      <c r="E603" s="162"/>
      <c r="F603" s="16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161"/>
      <c r="C604" s="4"/>
      <c r="D604" s="161"/>
      <c r="E604" s="162"/>
      <c r="F604" s="16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161"/>
      <c r="C605" s="4"/>
      <c r="D605" s="161"/>
      <c r="E605" s="162"/>
      <c r="F605" s="16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161"/>
      <c r="C606" s="4"/>
      <c r="D606" s="161"/>
      <c r="E606" s="162"/>
      <c r="F606" s="16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161"/>
      <c r="C607" s="4"/>
      <c r="D607" s="161"/>
      <c r="E607" s="162"/>
      <c r="F607" s="16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161"/>
      <c r="C608" s="4"/>
      <c r="D608" s="161"/>
      <c r="E608" s="162"/>
      <c r="F608" s="16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161"/>
      <c r="C609" s="4"/>
      <c r="D609" s="161"/>
      <c r="E609" s="162"/>
      <c r="F609" s="16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161"/>
      <c r="C610" s="4"/>
      <c r="D610" s="161"/>
      <c r="E610" s="162"/>
      <c r="F610" s="16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161"/>
      <c r="C611" s="4"/>
      <c r="D611" s="161"/>
      <c r="E611" s="162"/>
      <c r="F611" s="16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161"/>
      <c r="C612" s="4"/>
      <c r="D612" s="161"/>
      <c r="E612" s="162"/>
      <c r="F612" s="16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161"/>
      <c r="C613" s="4"/>
      <c r="D613" s="161"/>
      <c r="E613" s="162"/>
      <c r="F613" s="16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161"/>
      <c r="C614" s="4"/>
      <c r="D614" s="161"/>
      <c r="E614" s="162"/>
      <c r="F614" s="16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161"/>
      <c r="C615" s="4"/>
      <c r="D615" s="161"/>
      <c r="E615" s="162"/>
      <c r="F615" s="16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161"/>
      <c r="C616" s="4"/>
      <c r="D616" s="161"/>
      <c r="E616" s="162"/>
      <c r="F616" s="16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161"/>
      <c r="C617" s="4"/>
      <c r="D617" s="161"/>
      <c r="E617" s="162"/>
      <c r="F617" s="16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161"/>
      <c r="C618" s="4"/>
      <c r="D618" s="161"/>
      <c r="E618" s="162"/>
      <c r="F618" s="16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161"/>
      <c r="C619" s="4"/>
      <c r="D619" s="161"/>
      <c r="E619" s="162"/>
      <c r="F619" s="16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161"/>
      <c r="C620" s="4"/>
      <c r="D620" s="161"/>
      <c r="E620" s="162"/>
      <c r="F620" s="16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161"/>
      <c r="C621" s="4"/>
      <c r="D621" s="161"/>
      <c r="E621" s="162"/>
      <c r="F621" s="16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161"/>
      <c r="C622" s="4"/>
      <c r="D622" s="161"/>
      <c r="E622" s="162"/>
      <c r="F622" s="16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161"/>
      <c r="C623" s="4"/>
      <c r="D623" s="161"/>
      <c r="E623" s="162"/>
      <c r="F623" s="16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161"/>
      <c r="C624" s="4"/>
      <c r="D624" s="161"/>
      <c r="E624" s="162"/>
      <c r="F624" s="16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161"/>
      <c r="C625" s="4"/>
      <c r="D625" s="161"/>
      <c r="E625" s="162"/>
      <c r="F625" s="16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161"/>
      <c r="C626" s="4"/>
      <c r="D626" s="161"/>
      <c r="E626" s="162"/>
      <c r="F626" s="16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161"/>
      <c r="C627" s="4"/>
      <c r="D627" s="161"/>
      <c r="E627" s="162"/>
      <c r="F627" s="16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161"/>
      <c r="C628" s="4"/>
      <c r="D628" s="161"/>
      <c r="E628" s="162"/>
      <c r="F628" s="16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161"/>
      <c r="C629" s="4"/>
      <c r="D629" s="161"/>
      <c r="E629" s="162"/>
      <c r="F629" s="16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161"/>
      <c r="C630" s="4"/>
      <c r="D630" s="161"/>
      <c r="E630" s="162"/>
      <c r="F630" s="16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161"/>
      <c r="C631" s="4"/>
      <c r="D631" s="161"/>
      <c r="E631" s="162"/>
      <c r="F631" s="16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161"/>
      <c r="C632" s="4"/>
      <c r="D632" s="161"/>
      <c r="E632" s="162"/>
      <c r="F632" s="16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161"/>
      <c r="C633" s="4"/>
      <c r="D633" s="161"/>
      <c r="E633" s="162"/>
      <c r="F633" s="16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161"/>
      <c r="C634" s="4"/>
      <c r="D634" s="161"/>
      <c r="E634" s="162"/>
      <c r="F634" s="16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161"/>
      <c r="C635" s="4"/>
      <c r="D635" s="161"/>
      <c r="E635" s="162"/>
      <c r="F635" s="16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161"/>
      <c r="C636" s="4"/>
      <c r="D636" s="161"/>
      <c r="E636" s="162"/>
      <c r="F636" s="16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161"/>
      <c r="C637" s="4"/>
      <c r="D637" s="161"/>
      <c r="E637" s="162"/>
      <c r="F637" s="16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161"/>
      <c r="C638" s="4"/>
      <c r="D638" s="161"/>
      <c r="E638" s="162"/>
      <c r="F638" s="16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161"/>
      <c r="C639" s="4"/>
      <c r="D639" s="161"/>
      <c r="E639" s="162"/>
      <c r="F639" s="16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161"/>
      <c r="C640" s="4"/>
      <c r="D640" s="161"/>
      <c r="E640" s="162"/>
      <c r="F640" s="16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161"/>
      <c r="C641" s="4"/>
      <c r="D641" s="161"/>
      <c r="E641" s="162"/>
      <c r="F641" s="16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161"/>
      <c r="C642" s="4"/>
      <c r="D642" s="161"/>
      <c r="E642" s="162"/>
      <c r="F642" s="16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161"/>
      <c r="C643" s="4"/>
      <c r="D643" s="161"/>
      <c r="E643" s="162"/>
      <c r="F643" s="16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161"/>
      <c r="C644" s="4"/>
      <c r="D644" s="161"/>
      <c r="E644" s="162"/>
      <c r="F644" s="16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161"/>
      <c r="C645" s="4"/>
      <c r="D645" s="161"/>
      <c r="E645" s="162"/>
      <c r="F645" s="16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161"/>
      <c r="C646" s="4"/>
      <c r="D646" s="161"/>
      <c r="E646" s="162"/>
      <c r="F646" s="16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161"/>
      <c r="C647" s="4"/>
      <c r="D647" s="161"/>
      <c r="E647" s="162"/>
      <c r="F647" s="16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161"/>
      <c r="C648" s="4"/>
      <c r="D648" s="161"/>
      <c r="E648" s="162"/>
      <c r="F648" s="16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161"/>
      <c r="C649" s="4"/>
      <c r="D649" s="161"/>
      <c r="E649" s="162"/>
      <c r="F649" s="16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161"/>
      <c r="C650" s="4"/>
      <c r="D650" s="161"/>
      <c r="E650" s="162"/>
      <c r="F650" s="16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161"/>
      <c r="C651" s="4"/>
      <c r="D651" s="161"/>
      <c r="E651" s="162"/>
      <c r="F651" s="16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161"/>
      <c r="C652" s="4"/>
      <c r="D652" s="161"/>
      <c r="E652" s="162"/>
      <c r="F652" s="16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161"/>
      <c r="C653" s="4"/>
      <c r="D653" s="161"/>
      <c r="E653" s="162"/>
      <c r="F653" s="16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161"/>
      <c r="C654" s="4"/>
      <c r="D654" s="161"/>
      <c r="E654" s="162"/>
      <c r="F654" s="16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161"/>
      <c r="C655" s="4"/>
      <c r="D655" s="161"/>
      <c r="E655" s="162"/>
      <c r="F655" s="16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161"/>
      <c r="C656" s="4"/>
      <c r="D656" s="161"/>
      <c r="E656" s="162"/>
      <c r="F656" s="16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161"/>
      <c r="C657" s="4"/>
      <c r="D657" s="161"/>
      <c r="E657" s="162"/>
      <c r="F657" s="16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161"/>
      <c r="C658" s="4"/>
      <c r="D658" s="161"/>
      <c r="E658" s="162"/>
      <c r="F658" s="16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161"/>
      <c r="C659" s="4"/>
      <c r="D659" s="161"/>
      <c r="E659" s="162"/>
      <c r="F659" s="16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161"/>
      <c r="C660" s="4"/>
      <c r="D660" s="161"/>
      <c r="E660" s="162"/>
      <c r="F660" s="16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161"/>
      <c r="C661" s="4"/>
      <c r="D661" s="161"/>
      <c r="E661" s="162"/>
      <c r="F661" s="16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161"/>
      <c r="C662" s="4"/>
      <c r="D662" s="161"/>
      <c r="E662" s="162"/>
      <c r="F662" s="16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161"/>
      <c r="C663" s="4"/>
      <c r="D663" s="161"/>
      <c r="E663" s="162"/>
      <c r="F663" s="16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161"/>
      <c r="C664" s="4"/>
      <c r="D664" s="161"/>
      <c r="E664" s="162"/>
      <c r="F664" s="16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161"/>
      <c r="C665" s="4"/>
      <c r="D665" s="161"/>
      <c r="E665" s="162"/>
      <c r="F665" s="16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161"/>
      <c r="C666" s="4"/>
      <c r="D666" s="161"/>
      <c r="E666" s="162"/>
      <c r="F666" s="16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161"/>
      <c r="C667" s="4"/>
      <c r="D667" s="161"/>
      <c r="E667" s="162"/>
      <c r="F667" s="16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161"/>
      <c r="C668" s="4"/>
      <c r="D668" s="161"/>
      <c r="E668" s="162"/>
      <c r="F668" s="16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161"/>
      <c r="C669" s="4"/>
      <c r="D669" s="161"/>
      <c r="E669" s="162"/>
      <c r="F669" s="16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161"/>
      <c r="C670" s="4"/>
      <c r="D670" s="161"/>
      <c r="E670" s="162"/>
      <c r="F670" s="16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161"/>
      <c r="C671" s="4"/>
      <c r="D671" s="161"/>
      <c r="E671" s="162"/>
      <c r="F671" s="16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161"/>
      <c r="C672" s="4"/>
      <c r="D672" s="161"/>
      <c r="E672" s="162"/>
      <c r="F672" s="16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161"/>
      <c r="C673" s="4"/>
      <c r="D673" s="161"/>
      <c r="E673" s="162"/>
      <c r="F673" s="16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161"/>
      <c r="C674" s="4"/>
      <c r="D674" s="161"/>
      <c r="E674" s="162"/>
      <c r="F674" s="16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161"/>
      <c r="C675" s="4"/>
      <c r="D675" s="161"/>
      <c r="E675" s="162"/>
      <c r="F675" s="16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161"/>
      <c r="C676" s="4"/>
      <c r="D676" s="161"/>
      <c r="E676" s="162"/>
      <c r="F676" s="16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161"/>
      <c r="C677" s="4"/>
      <c r="D677" s="161"/>
      <c r="E677" s="162"/>
      <c r="F677" s="16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161"/>
      <c r="C678" s="4"/>
      <c r="D678" s="161"/>
      <c r="E678" s="162"/>
      <c r="F678" s="16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161"/>
      <c r="C679" s="4"/>
      <c r="D679" s="161"/>
      <c r="E679" s="162"/>
      <c r="F679" s="16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161"/>
      <c r="C680" s="4"/>
      <c r="D680" s="161"/>
      <c r="E680" s="162"/>
      <c r="F680" s="16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161"/>
      <c r="C681" s="4"/>
      <c r="D681" s="161"/>
      <c r="E681" s="162"/>
      <c r="F681" s="16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161"/>
      <c r="C682" s="4"/>
      <c r="D682" s="161"/>
      <c r="E682" s="162"/>
      <c r="F682" s="16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161"/>
      <c r="C683" s="4"/>
      <c r="D683" s="161"/>
      <c r="E683" s="162"/>
      <c r="F683" s="16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161"/>
      <c r="C684" s="4"/>
      <c r="D684" s="161"/>
      <c r="E684" s="162"/>
      <c r="F684" s="16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161"/>
      <c r="C685" s="4"/>
      <c r="D685" s="161"/>
      <c r="E685" s="162"/>
      <c r="F685" s="16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161"/>
      <c r="C686" s="4"/>
      <c r="D686" s="161"/>
      <c r="E686" s="162"/>
      <c r="F686" s="16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161"/>
      <c r="C687" s="4"/>
      <c r="D687" s="161"/>
      <c r="E687" s="162"/>
      <c r="F687" s="16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161"/>
      <c r="C688" s="4"/>
      <c r="D688" s="161"/>
      <c r="E688" s="162"/>
      <c r="F688" s="16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161"/>
      <c r="C689" s="4"/>
      <c r="D689" s="161"/>
      <c r="E689" s="162"/>
      <c r="F689" s="16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161"/>
      <c r="C690" s="4"/>
      <c r="D690" s="161"/>
      <c r="E690" s="162"/>
      <c r="F690" s="16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161"/>
      <c r="C691" s="4"/>
      <c r="D691" s="161"/>
      <c r="E691" s="162"/>
      <c r="F691" s="16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161"/>
      <c r="C692" s="4"/>
      <c r="D692" s="161"/>
      <c r="E692" s="162"/>
      <c r="F692" s="16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161"/>
      <c r="C693" s="4"/>
      <c r="D693" s="161"/>
      <c r="E693" s="162"/>
      <c r="F693" s="16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161"/>
      <c r="C694" s="4"/>
      <c r="D694" s="161"/>
      <c r="E694" s="162"/>
      <c r="F694" s="16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161"/>
      <c r="C695" s="4"/>
      <c r="D695" s="161"/>
      <c r="E695" s="162"/>
      <c r="F695" s="16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161"/>
      <c r="C696" s="4"/>
      <c r="D696" s="161"/>
      <c r="E696" s="162"/>
      <c r="F696" s="16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161"/>
      <c r="C697" s="4"/>
      <c r="D697" s="161"/>
      <c r="E697" s="162"/>
      <c r="F697" s="16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161"/>
      <c r="C698" s="4"/>
      <c r="D698" s="161"/>
      <c r="E698" s="162"/>
      <c r="F698" s="16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161"/>
      <c r="C699" s="4"/>
      <c r="D699" s="161"/>
      <c r="E699" s="162"/>
      <c r="F699" s="16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161"/>
      <c r="C700" s="4"/>
      <c r="D700" s="161"/>
      <c r="E700" s="162"/>
      <c r="F700" s="16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161"/>
      <c r="C701" s="4"/>
      <c r="D701" s="161"/>
      <c r="E701" s="162"/>
      <c r="F701" s="16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161"/>
      <c r="C702" s="4"/>
      <c r="D702" s="161"/>
      <c r="E702" s="162"/>
      <c r="F702" s="16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161"/>
      <c r="C703" s="4"/>
      <c r="D703" s="161"/>
      <c r="E703" s="162"/>
      <c r="F703" s="16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161"/>
      <c r="C704" s="4"/>
      <c r="D704" s="161"/>
      <c r="E704" s="162"/>
      <c r="F704" s="16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161"/>
      <c r="C705" s="4"/>
      <c r="D705" s="161"/>
      <c r="E705" s="162"/>
      <c r="F705" s="16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161"/>
      <c r="C706" s="4"/>
      <c r="D706" s="161"/>
      <c r="E706" s="162"/>
      <c r="F706" s="16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161"/>
      <c r="C707" s="4"/>
      <c r="D707" s="161"/>
      <c r="E707" s="162"/>
      <c r="F707" s="16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161"/>
      <c r="C708" s="4"/>
      <c r="D708" s="161"/>
      <c r="E708" s="162"/>
      <c r="F708" s="16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161"/>
      <c r="C709" s="4"/>
      <c r="D709" s="161"/>
      <c r="E709" s="162"/>
      <c r="F709" s="16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161"/>
      <c r="C710" s="4"/>
      <c r="D710" s="161"/>
      <c r="E710" s="162"/>
      <c r="F710" s="16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161"/>
      <c r="C711" s="4"/>
      <c r="D711" s="161"/>
      <c r="E711" s="162"/>
      <c r="F711" s="16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161"/>
      <c r="C712" s="4"/>
      <c r="D712" s="161"/>
      <c r="E712" s="162"/>
      <c r="F712" s="16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161"/>
      <c r="C713" s="4"/>
      <c r="D713" s="161"/>
      <c r="E713" s="162"/>
      <c r="F713" s="16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161"/>
      <c r="C714" s="4"/>
      <c r="D714" s="161"/>
      <c r="E714" s="162"/>
      <c r="F714" s="16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161"/>
      <c r="C715" s="4"/>
      <c r="D715" s="161"/>
      <c r="E715" s="162"/>
      <c r="F715" s="16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161"/>
      <c r="C716" s="4"/>
      <c r="D716" s="161"/>
      <c r="E716" s="162"/>
      <c r="F716" s="16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161"/>
      <c r="C717" s="4"/>
      <c r="D717" s="161"/>
      <c r="E717" s="162"/>
      <c r="F717" s="16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161"/>
      <c r="C718" s="4"/>
      <c r="D718" s="161"/>
      <c r="E718" s="162"/>
      <c r="F718" s="16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161"/>
      <c r="C719" s="4"/>
      <c r="D719" s="161"/>
      <c r="E719" s="162"/>
      <c r="F719" s="16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161"/>
      <c r="C720" s="4"/>
      <c r="D720" s="161"/>
      <c r="E720" s="162"/>
      <c r="F720" s="16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161"/>
      <c r="C721" s="4"/>
      <c r="D721" s="161"/>
      <c r="E721" s="162"/>
      <c r="F721" s="16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161"/>
      <c r="C722" s="4"/>
      <c r="D722" s="161"/>
      <c r="E722" s="162"/>
      <c r="F722" s="16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161"/>
      <c r="C723" s="4"/>
      <c r="D723" s="161"/>
      <c r="E723" s="162"/>
      <c r="F723" s="16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161"/>
      <c r="C724" s="4"/>
      <c r="D724" s="161"/>
      <c r="E724" s="162"/>
      <c r="F724" s="16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161"/>
      <c r="C725" s="4"/>
      <c r="D725" s="161"/>
      <c r="E725" s="162"/>
      <c r="F725" s="16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161"/>
      <c r="C726" s="4"/>
      <c r="D726" s="161"/>
      <c r="E726" s="162"/>
      <c r="F726" s="16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161"/>
      <c r="C727" s="4"/>
      <c r="D727" s="161"/>
      <c r="E727" s="162"/>
      <c r="F727" s="16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161"/>
      <c r="C728" s="4"/>
      <c r="D728" s="161"/>
      <c r="E728" s="162"/>
      <c r="F728" s="16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161"/>
      <c r="C729" s="4"/>
      <c r="D729" s="161"/>
      <c r="E729" s="162"/>
      <c r="F729" s="16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161"/>
      <c r="C730" s="4"/>
      <c r="D730" s="161"/>
      <c r="E730" s="162"/>
      <c r="F730" s="16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161"/>
      <c r="C731" s="4"/>
      <c r="D731" s="161"/>
      <c r="E731" s="162"/>
      <c r="F731" s="16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161"/>
      <c r="C732" s="4"/>
      <c r="D732" s="161"/>
      <c r="E732" s="162"/>
      <c r="F732" s="16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161"/>
      <c r="C733" s="4"/>
      <c r="D733" s="161"/>
      <c r="E733" s="162"/>
      <c r="F733" s="16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161"/>
      <c r="C734" s="4"/>
      <c r="D734" s="161"/>
      <c r="E734" s="162"/>
      <c r="F734" s="16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161"/>
      <c r="C735" s="4"/>
      <c r="D735" s="161"/>
      <c r="E735" s="162"/>
      <c r="F735" s="16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161"/>
      <c r="C736" s="4"/>
      <c r="D736" s="161"/>
      <c r="E736" s="162"/>
      <c r="F736" s="16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161"/>
      <c r="C737" s="4"/>
      <c r="D737" s="161"/>
      <c r="E737" s="162"/>
      <c r="F737" s="16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161"/>
      <c r="C738" s="4"/>
      <c r="D738" s="161"/>
      <c r="E738" s="162"/>
      <c r="F738" s="16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161"/>
      <c r="C739" s="4"/>
      <c r="D739" s="161"/>
      <c r="E739" s="162"/>
      <c r="F739" s="16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161"/>
      <c r="C740" s="4"/>
      <c r="D740" s="161"/>
      <c r="E740" s="162"/>
      <c r="F740" s="16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161"/>
      <c r="C741" s="4"/>
      <c r="D741" s="161"/>
      <c r="E741" s="162"/>
      <c r="F741" s="16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161"/>
      <c r="C742" s="4"/>
      <c r="D742" s="161"/>
      <c r="E742" s="162"/>
      <c r="F742" s="16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161"/>
      <c r="C743" s="4"/>
      <c r="D743" s="161"/>
      <c r="E743" s="162"/>
      <c r="F743" s="16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161"/>
      <c r="C744" s="4"/>
      <c r="D744" s="161"/>
      <c r="E744" s="162"/>
      <c r="F744" s="16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161"/>
      <c r="C745" s="4"/>
      <c r="D745" s="161"/>
      <c r="E745" s="162"/>
      <c r="F745" s="16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161"/>
      <c r="C746" s="4"/>
      <c r="D746" s="161"/>
      <c r="E746" s="162"/>
      <c r="F746" s="16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161"/>
      <c r="C747" s="4"/>
      <c r="D747" s="161"/>
      <c r="E747" s="162"/>
      <c r="F747" s="16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161"/>
      <c r="C748" s="4"/>
      <c r="D748" s="161"/>
      <c r="E748" s="162"/>
      <c r="F748" s="16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161"/>
      <c r="C749" s="4"/>
      <c r="D749" s="161"/>
      <c r="E749" s="162"/>
      <c r="F749" s="16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161"/>
      <c r="C750" s="4"/>
      <c r="D750" s="161"/>
      <c r="E750" s="162"/>
      <c r="F750" s="16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161"/>
      <c r="C751" s="4"/>
      <c r="D751" s="161"/>
      <c r="E751" s="162"/>
      <c r="F751" s="16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161"/>
      <c r="C752" s="4"/>
      <c r="D752" s="161"/>
      <c r="E752" s="162"/>
      <c r="F752" s="16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161"/>
      <c r="C753" s="4"/>
      <c r="D753" s="161"/>
      <c r="E753" s="162"/>
      <c r="F753" s="16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161"/>
      <c r="C754" s="4"/>
      <c r="D754" s="161"/>
      <c r="E754" s="162"/>
      <c r="F754" s="16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161"/>
      <c r="C755" s="4"/>
      <c r="D755" s="161"/>
      <c r="E755" s="162"/>
      <c r="F755" s="16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161"/>
      <c r="C756" s="4"/>
      <c r="D756" s="161"/>
      <c r="E756" s="162"/>
      <c r="F756" s="16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161"/>
      <c r="C757" s="4"/>
      <c r="D757" s="161"/>
      <c r="E757" s="162"/>
      <c r="F757" s="16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161"/>
      <c r="C758" s="4"/>
      <c r="D758" s="161"/>
      <c r="E758" s="162"/>
      <c r="F758" s="16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161"/>
      <c r="C759" s="4"/>
      <c r="D759" s="161"/>
      <c r="E759" s="162"/>
      <c r="F759" s="16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161"/>
      <c r="C760" s="4"/>
      <c r="D760" s="161"/>
      <c r="E760" s="162"/>
      <c r="F760" s="16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161"/>
      <c r="C761" s="4"/>
      <c r="D761" s="161"/>
      <c r="E761" s="162"/>
      <c r="F761" s="16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161"/>
      <c r="C762" s="4"/>
      <c r="D762" s="161"/>
      <c r="E762" s="162"/>
      <c r="F762" s="16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161"/>
      <c r="C763" s="4"/>
      <c r="D763" s="161"/>
      <c r="E763" s="162"/>
      <c r="F763" s="16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161"/>
      <c r="C764" s="4"/>
      <c r="D764" s="161"/>
      <c r="E764" s="162"/>
      <c r="F764" s="16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161"/>
      <c r="C765" s="4"/>
      <c r="D765" s="161"/>
      <c r="E765" s="162"/>
      <c r="F765" s="16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161"/>
      <c r="C766" s="4"/>
      <c r="D766" s="161"/>
      <c r="E766" s="162"/>
      <c r="F766" s="16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161"/>
      <c r="C767" s="4"/>
      <c r="D767" s="161"/>
      <c r="E767" s="162"/>
      <c r="F767" s="16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161"/>
      <c r="C768" s="4"/>
      <c r="D768" s="161"/>
      <c r="E768" s="162"/>
      <c r="F768" s="16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161"/>
      <c r="C769" s="4"/>
      <c r="D769" s="161"/>
      <c r="E769" s="162"/>
      <c r="F769" s="16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161"/>
      <c r="C770" s="4"/>
      <c r="D770" s="161"/>
      <c r="E770" s="162"/>
      <c r="F770" s="16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161"/>
      <c r="C771" s="4"/>
      <c r="D771" s="161"/>
      <c r="E771" s="162"/>
      <c r="F771" s="16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161"/>
      <c r="C772" s="4"/>
      <c r="D772" s="161"/>
      <c r="E772" s="162"/>
      <c r="F772" s="16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161"/>
      <c r="C773" s="4"/>
      <c r="D773" s="161"/>
      <c r="E773" s="162"/>
      <c r="F773" s="16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161"/>
      <c r="C774" s="4"/>
      <c r="D774" s="161"/>
      <c r="E774" s="162"/>
      <c r="F774" s="16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161"/>
      <c r="C775" s="4"/>
      <c r="D775" s="161"/>
      <c r="E775" s="162"/>
      <c r="F775" s="16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161"/>
      <c r="C776" s="4"/>
      <c r="D776" s="161"/>
      <c r="E776" s="162"/>
      <c r="F776" s="16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161"/>
      <c r="C777" s="4"/>
      <c r="D777" s="161"/>
      <c r="E777" s="162"/>
      <c r="F777" s="16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161"/>
      <c r="C778" s="4"/>
      <c r="D778" s="161"/>
      <c r="E778" s="162"/>
      <c r="F778" s="16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161"/>
      <c r="C779" s="4"/>
      <c r="D779" s="161"/>
      <c r="E779" s="162"/>
      <c r="F779" s="16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161"/>
      <c r="C780" s="4"/>
      <c r="D780" s="161"/>
      <c r="E780" s="162"/>
      <c r="F780" s="16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161"/>
      <c r="C781" s="4"/>
      <c r="D781" s="161"/>
      <c r="E781" s="162"/>
      <c r="F781" s="16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161"/>
      <c r="C782" s="4"/>
      <c r="D782" s="161"/>
      <c r="E782" s="162"/>
      <c r="F782" s="16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161"/>
      <c r="C783" s="4"/>
      <c r="D783" s="161"/>
      <c r="E783" s="162"/>
      <c r="F783" s="16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161"/>
      <c r="C784" s="4"/>
      <c r="D784" s="161"/>
      <c r="E784" s="162"/>
      <c r="F784" s="16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161"/>
      <c r="C785" s="4"/>
      <c r="D785" s="161"/>
      <c r="E785" s="162"/>
      <c r="F785" s="16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161"/>
      <c r="C786" s="4"/>
      <c r="D786" s="161"/>
      <c r="E786" s="162"/>
      <c r="F786" s="16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161"/>
      <c r="C787" s="4"/>
      <c r="D787" s="161"/>
      <c r="E787" s="162"/>
      <c r="F787" s="16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161"/>
      <c r="C788" s="4"/>
      <c r="D788" s="161"/>
      <c r="E788" s="162"/>
      <c r="F788" s="16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161"/>
      <c r="C789" s="4"/>
      <c r="D789" s="161"/>
      <c r="E789" s="162"/>
      <c r="F789" s="16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161"/>
      <c r="C790" s="4"/>
      <c r="D790" s="161"/>
      <c r="E790" s="162"/>
      <c r="F790" s="16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161"/>
      <c r="C791" s="4"/>
      <c r="D791" s="161"/>
      <c r="E791" s="162"/>
      <c r="F791" s="16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161"/>
      <c r="C792" s="4"/>
      <c r="D792" s="161"/>
      <c r="E792" s="162"/>
      <c r="F792" s="16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161"/>
      <c r="C793" s="4"/>
      <c r="D793" s="161"/>
      <c r="E793" s="162"/>
      <c r="F793" s="16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161"/>
      <c r="C794" s="4"/>
      <c r="D794" s="161"/>
      <c r="E794" s="162"/>
      <c r="F794" s="16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161"/>
      <c r="C795" s="4"/>
      <c r="D795" s="161"/>
      <c r="E795" s="162"/>
      <c r="F795" s="16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161"/>
      <c r="C796" s="4"/>
      <c r="D796" s="161"/>
      <c r="E796" s="162"/>
      <c r="F796" s="16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161"/>
      <c r="C797" s="4"/>
      <c r="D797" s="161"/>
      <c r="E797" s="162"/>
      <c r="F797" s="16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161"/>
      <c r="C798" s="4"/>
      <c r="D798" s="161"/>
      <c r="E798" s="162"/>
      <c r="F798" s="16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161"/>
      <c r="C799" s="4"/>
      <c r="D799" s="161"/>
      <c r="E799" s="162"/>
      <c r="F799" s="16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161"/>
      <c r="C800" s="4"/>
      <c r="D800" s="161"/>
      <c r="E800" s="162"/>
      <c r="F800" s="16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161"/>
      <c r="C801" s="4"/>
      <c r="D801" s="161"/>
      <c r="E801" s="162"/>
      <c r="F801" s="16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161"/>
      <c r="C802" s="4"/>
      <c r="D802" s="161"/>
      <c r="E802" s="162"/>
      <c r="F802" s="16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161"/>
      <c r="C803" s="4"/>
      <c r="D803" s="161"/>
      <c r="E803" s="162"/>
      <c r="F803" s="16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161"/>
      <c r="C804" s="4"/>
      <c r="D804" s="161"/>
      <c r="E804" s="162"/>
      <c r="F804" s="16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161"/>
      <c r="C805" s="4"/>
      <c r="D805" s="161"/>
      <c r="E805" s="162"/>
      <c r="F805" s="16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161"/>
      <c r="C806" s="4"/>
      <c r="D806" s="161"/>
      <c r="E806" s="162"/>
      <c r="F806" s="16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161"/>
      <c r="C807" s="4"/>
      <c r="D807" s="161"/>
      <c r="E807" s="162"/>
      <c r="F807" s="16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161"/>
      <c r="C808" s="4"/>
      <c r="D808" s="161"/>
      <c r="E808" s="162"/>
      <c r="F808" s="16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161"/>
      <c r="C809" s="4"/>
      <c r="D809" s="161"/>
      <c r="E809" s="162"/>
      <c r="F809" s="16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161"/>
      <c r="C810" s="4"/>
      <c r="D810" s="161"/>
      <c r="E810" s="162"/>
      <c r="F810" s="16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161"/>
      <c r="C811" s="4"/>
      <c r="D811" s="161"/>
      <c r="E811" s="162"/>
      <c r="F811" s="16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161"/>
      <c r="C812" s="4"/>
      <c r="D812" s="161"/>
      <c r="E812" s="162"/>
      <c r="F812" s="16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161"/>
      <c r="C813" s="4"/>
      <c r="D813" s="161"/>
      <c r="E813" s="162"/>
      <c r="F813" s="16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161"/>
      <c r="C814" s="4"/>
      <c r="D814" s="161"/>
      <c r="E814" s="162"/>
      <c r="F814" s="16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161"/>
      <c r="C815" s="4"/>
      <c r="D815" s="161"/>
      <c r="E815" s="162"/>
      <c r="F815" s="16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161"/>
      <c r="C816" s="4"/>
      <c r="D816" s="161"/>
      <c r="E816" s="162"/>
      <c r="F816" s="16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161"/>
      <c r="C817" s="4"/>
      <c r="D817" s="161"/>
      <c r="E817" s="162"/>
      <c r="F817" s="16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161"/>
      <c r="C818" s="4"/>
      <c r="D818" s="161"/>
      <c r="E818" s="162"/>
      <c r="F818" s="16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161"/>
      <c r="C819" s="4"/>
      <c r="D819" s="161"/>
      <c r="E819" s="162"/>
      <c r="F819" s="16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161"/>
      <c r="C820" s="4"/>
      <c r="D820" s="161"/>
      <c r="E820" s="162"/>
      <c r="F820" s="16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161"/>
      <c r="C821" s="4"/>
      <c r="D821" s="161"/>
      <c r="E821" s="162"/>
      <c r="F821" s="16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161"/>
      <c r="C822" s="4"/>
      <c r="D822" s="161"/>
      <c r="E822" s="162"/>
      <c r="F822" s="16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161"/>
      <c r="C823" s="4"/>
      <c r="D823" s="161"/>
      <c r="E823" s="162"/>
      <c r="F823" s="16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161"/>
      <c r="C824" s="4"/>
      <c r="D824" s="161"/>
      <c r="E824" s="162"/>
      <c r="F824" s="16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161"/>
      <c r="C825" s="4"/>
      <c r="D825" s="161"/>
      <c r="E825" s="162"/>
      <c r="F825" s="16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161"/>
      <c r="C826" s="4"/>
      <c r="D826" s="161"/>
      <c r="E826" s="162"/>
      <c r="F826" s="16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161"/>
      <c r="C827" s="4"/>
      <c r="D827" s="161"/>
      <c r="E827" s="162"/>
      <c r="F827" s="16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161"/>
      <c r="C828" s="4"/>
      <c r="D828" s="161"/>
      <c r="E828" s="162"/>
      <c r="F828" s="16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161"/>
      <c r="C829" s="4"/>
      <c r="D829" s="161"/>
      <c r="E829" s="162"/>
      <c r="F829" s="16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161"/>
      <c r="C830" s="4"/>
      <c r="D830" s="161"/>
      <c r="E830" s="162"/>
      <c r="F830" s="16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161"/>
      <c r="C831" s="4"/>
      <c r="D831" s="161"/>
      <c r="E831" s="162"/>
      <c r="F831" s="16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161"/>
      <c r="C832" s="4"/>
      <c r="D832" s="161"/>
      <c r="E832" s="162"/>
      <c r="F832" s="16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161"/>
      <c r="C833" s="4"/>
      <c r="D833" s="161"/>
      <c r="E833" s="162"/>
      <c r="F833" s="16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161"/>
      <c r="C834" s="4"/>
      <c r="D834" s="161"/>
      <c r="E834" s="162"/>
      <c r="F834" s="16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161"/>
      <c r="C835" s="4"/>
      <c r="D835" s="161"/>
      <c r="E835" s="162"/>
      <c r="F835" s="16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161"/>
      <c r="C836" s="4"/>
      <c r="D836" s="161"/>
      <c r="E836" s="162"/>
      <c r="F836" s="16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161"/>
      <c r="C837" s="4"/>
      <c r="D837" s="161"/>
      <c r="E837" s="162"/>
      <c r="F837" s="16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161"/>
      <c r="C838" s="4"/>
      <c r="D838" s="161"/>
      <c r="E838" s="162"/>
      <c r="F838" s="16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161"/>
      <c r="C839" s="4"/>
      <c r="D839" s="161"/>
      <c r="E839" s="162"/>
      <c r="F839" s="16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161"/>
      <c r="C840" s="4"/>
      <c r="D840" s="161"/>
      <c r="E840" s="162"/>
      <c r="F840" s="16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161"/>
      <c r="C841" s="4"/>
      <c r="D841" s="161"/>
      <c r="E841" s="162"/>
      <c r="F841" s="16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161"/>
      <c r="C842" s="4"/>
      <c r="D842" s="161"/>
      <c r="E842" s="162"/>
      <c r="F842" s="16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161"/>
      <c r="C843" s="4"/>
      <c r="D843" s="161"/>
      <c r="E843" s="162"/>
      <c r="F843" s="16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161"/>
      <c r="C844" s="4"/>
      <c r="D844" s="161"/>
      <c r="E844" s="162"/>
      <c r="F844" s="16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161"/>
      <c r="C845" s="4"/>
      <c r="D845" s="161"/>
      <c r="E845" s="162"/>
      <c r="F845" s="16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161"/>
      <c r="C846" s="4"/>
      <c r="D846" s="161"/>
      <c r="E846" s="162"/>
      <c r="F846" s="16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161"/>
      <c r="C847" s="4"/>
      <c r="D847" s="161"/>
      <c r="E847" s="162"/>
      <c r="F847" s="16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161"/>
      <c r="C848" s="4"/>
      <c r="D848" s="161"/>
      <c r="E848" s="162"/>
      <c r="F848" s="16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161"/>
      <c r="C849" s="4"/>
      <c r="D849" s="161"/>
      <c r="E849" s="162"/>
      <c r="F849" s="16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161"/>
      <c r="C850" s="4"/>
      <c r="D850" s="161"/>
      <c r="E850" s="162"/>
      <c r="F850" s="16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161"/>
      <c r="C851" s="4"/>
      <c r="D851" s="161"/>
      <c r="E851" s="162"/>
      <c r="F851" s="16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161"/>
      <c r="C852" s="4"/>
      <c r="D852" s="161"/>
      <c r="E852" s="162"/>
      <c r="F852" s="16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161"/>
      <c r="C853" s="4"/>
      <c r="D853" s="161"/>
      <c r="E853" s="162"/>
      <c r="F853" s="16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161"/>
      <c r="C854" s="4"/>
      <c r="D854" s="161"/>
      <c r="E854" s="162"/>
      <c r="F854" s="16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161"/>
      <c r="C855" s="4"/>
      <c r="D855" s="161"/>
      <c r="E855" s="162"/>
      <c r="F855" s="16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161"/>
      <c r="C856" s="4"/>
      <c r="D856" s="161"/>
      <c r="E856" s="162"/>
      <c r="F856" s="16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161"/>
      <c r="C857" s="4"/>
      <c r="D857" s="161"/>
      <c r="E857" s="162"/>
      <c r="F857" s="16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161"/>
      <c r="C858" s="4"/>
      <c r="D858" s="161"/>
      <c r="E858" s="162"/>
      <c r="F858" s="16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161"/>
      <c r="C859" s="4"/>
      <c r="D859" s="161"/>
      <c r="E859" s="162"/>
      <c r="F859" s="16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161"/>
      <c r="C860" s="4"/>
      <c r="D860" s="161"/>
      <c r="E860" s="162"/>
      <c r="F860" s="16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161"/>
      <c r="C861" s="4"/>
      <c r="D861" s="161"/>
      <c r="E861" s="162"/>
      <c r="F861" s="16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161"/>
      <c r="C862" s="4"/>
      <c r="D862" s="161"/>
      <c r="E862" s="162"/>
      <c r="F862" s="16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161"/>
      <c r="C863" s="4"/>
      <c r="D863" s="161"/>
      <c r="E863" s="162"/>
      <c r="F863" s="16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161"/>
      <c r="C864" s="4"/>
      <c r="D864" s="161"/>
      <c r="E864" s="162"/>
      <c r="F864" s="16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161"/>
      <c r="C865" s="4"/>
      <c r="D865" s="161"/>
      <c r="E865" s="162"/>
      <c r="F865" s="16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161"/>
      <c r="C866" s="4"/>
      <c r="D866" s="161"/>
      <c r="E866" s="162"/>
      <c r="F866" s="16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161"/>
      <c r="C867" s="4"/>
      <c r="D867" s="161"/>
      <c r="E867" s="162"/>
      <c r="F867" s="16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161"/>
      <c r="C868" s="4"/>
      <c r="D868" s="161"/>
      <c r="E868" s="162"/>
      <c r="F868" s="16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161"/>
      <c r="C869" s="4"/>
      <c r="D869" s="161"/>
      <c r="E869" s="162"/>
      <c r="F869" s="16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161"/>
      <c r="C870" s="4"/>
      <c r="D870" s="161"/>
      <c r="E870" s="162"/>
      <c r="F870" s="16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161"/>
      <c r="C871" s="4"/>
      <c r="D871" s="161"/>
      <c r="E871" s="162"/>
      <c r="F871" s="16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161"/>
      <c r="C872" s="4"/>
      <c r="D872" s="161"/>
      <c r="E872" s="162"/>
      <c r="F872" s="16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161"/>
      <c r="C873" s="4"/>
      <c r="D873" s="161"/>
      <c r="E873" s="162"/>
      <c r="F873" s="16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161"/>
      <c r="C874" s="4"/>
      <c r="D874" s="161"/>
      <c r="E874" s="162"/>
      <c r="F874" s="16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161"/>
      <c r="C875" s="4"/>
      <c r="D875" s="161"/>
      <c r="E875" s="162"/>
      <c r="F875" s="16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161"/>
      <c r="C876" s="4"/>
      <c r="D876" s="161"/>
      <c r="E876" s="162"/>
      <c r="F876" s="16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161"/>
      <c r="C877" s="4"/>
      <c r="D877" s="161"/>
      <c r="E877" s="162"/>
      <c r="F877" s="16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161"/>
      <c r="C878" s="4"/>
      <c r="D878" s="161"/>
      <c r="E878" s="162"/>
      <c r="F878" s="16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161"/>
      <c r="C879" s="4"/>
      <c r="D879" s="161"/>
      <c r="E879" s="162"/>
      <c r="F879" s="16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161"/>
      <c r="C880" s="4"/>
      <c r="D880" s="161"/>
      <c r="E880" s="162"/>
      <c r="F880" s="16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161"/>
      <c r="C881" s="4"/>
      <c r="D881" s="161"/>
      <c r="E881" s="162"/>
      <c r="F881" s="16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161"/>
      <c r="C882" s="4"/>
      <c r="D882" s="161"/>
      <c r="E882" s="162"/>
      <c r="F882" s="16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161"/>
      <c r="C883" s="4"/>
      <c r="D883" s="161"/>
      <c r="E883" s="162"/>
      <c r="F883" s="16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161"/>
      <c r="C884" s="4"/>
      <c r="D884" s="161"/>
      <c r="E884" s="162"/>
      <c r="F884" s="16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161"/>
      <c r="C885" s="4"/>
      <c r="D885" s="161"/>
      <c r="E885" s="162"/>
      <c r="F885" s="16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161"/>
      <c r="C886" s="4"/>
      <c r="D886" s="161"/>
      <c r="E886" s="162"/>
      <c r="F886" s="16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161"/>
      <c r="C887" s="4"/>
      <c r="D887" s="161"/>
      <c r="E887" s="162"/>
      <c r="F887" s="16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161"/>
      <c r="C888" s="4"/>
      <c r="D888" s="161"/>
      <c r="E888" s="162"/>
      <c r="F888" s="16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161"/>
      <c r="C889" s="4"/>
      <c r="D889" s="161"/>
      <c r="E889" s="162"/>
      <c r="F889" s="16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161"/>
      <c r="C890" s="4"/>
      <c r="D890" s="161"/>
      <c r="E890" s="162"/>
      <c r="F890" s="16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161"/>
      <c r="C891" s="4"/>
      <c r="D891" s="161"/>
      <c r="E891" s="162"/>
      <c r="F891" s="16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161"/>
      <c r="C892" s="4"/>
      <c r="D892" s="161"/>
      <c r="E892" s="162"/>
      <c r="F892" s="16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161"/>
      <c r="C893" s="4"/>
      <c r="D893" s="161"/>
      <c r="E893" s="162"/>
      <c r="F893" s="16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161"/>
      <c r="C894" s="4"/>
      <c r="D894" s="161"/>
      <c r="E894" s="162"/>
      <c r="F894" s="16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161"/>
      <c r="C895" s="4"/>
      <c r="D895" s="161"/>
      <c r="E895" s="162"/>
      <c r="F895" s="16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161"/>
      <c r="C896" s="4"/>
      <c r="D896" s="161"/>
      <c r="E896" s="162"/>
      <c r="F896" s="16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161"/>
      <c r="C897" s="4"/>
      <c r="D897" s="161"/>
      <c r="E897" s="162"/>
      <c r="F897" s="16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161"/>
      <c r="C898" s="4"/>
      <c r="D898" s="161"/>
      <c r="E898" s="162"/>
      <c r="F898" s="16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161"/>
      <c r="C899" s="4"/>
      <c r="D899" s="161"/>
      <c r="E899" s="162"/>
      <c r="F899" s="16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161"/>
      <c r="C900" s="4"/>
      <c r="D900" s="161"/>
      <c r="E900" s="162"/>
      <c r="F900" s="16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161"/>
      <c r="C901" s="4"/>
      <c r="D901" s="161"/>
      <c r="E901" s="162"/>
      <c r="F901" s="16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161"/>
      <c r="C902" s="4"/>
      <c r="D902" s="161"/>
      <c r="E902" s="162"/>
      <c r="F902" s="16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161"/>
      <c r="C903" s="4"/>
      <c r="D903" s="161"/>
      <c r="E903" s="162"/>
      <c r="F903" s="16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161"/>
      <c r="C904" s="4"/>
      <c r="D904" s="161"/>
      <c r="E904" s="162"/>
      <c r="F904" s="16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161"/>
      <c r="C905" s="4"/>
      <c r="D905" s="161"/>
      <c r="E905" s="162"/>
      <c r="F905" s="16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161"/>
      <c r="C906" s="4"/>
      <c r="D906" s="161"/>
      <c r="E906" s="162"/>
      <c r="F906" s="16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161"/>
      <c r="C907" s="4"/>
      <c r="D907" s="161"/>
      <c r="E907" s="162"/>
      <c r="F907" s="16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161"/>
      <c r="C908" s="4"/>
      <c r="D908" s="161"/>
      <c r="E908" s="162"/>
      <c r="F908" s="16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161"/>
      <c r="C909" s="4"/>
      <c r="D909" s="161"/>
      <c r="E909" s="162"/>
      <c r="F909" s="16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161"/>
      <c r="C910" s="4"/>
      <c r="D910" s="161"/>
      <c r="E910" s="162"/>
      <c r="F910" s="16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161"/>
      <c r="C911" s="4"/>
      <c r="D911" s="161"/>
      <c r="E911" s="162"/>
      <c r="F911" s="16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161"/>
      <c r="C912" s="4"/>
      <c r="D912" s="161"/>
      <c r="E912" s="162"/>
      <c r="F912" s="16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161"/>
      <c r="C913" s="4"/>
      <c r="D913" s="161"/>
      <c r="E913" s="162"/>
      <c r="F913" s="16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161"/>
      <c r="C914" s="4"/>
      <c r="D914" s="161"/>
      <c r="E914" s="162"/>
      <c r="F914" s="16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161"/>
      <c r="C915" s="4"/>
      <c r="D915" s="161"/>
      <c r="E915" s="162"/>
      <c r="F915" s="16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161"/>
      <c r="C916" s="4"/>
      <c r="D916" s="161"/>
      <c r="E916" s="162"/>
      <c r="F916" s="16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161"/>
      <c r="C917" s="4"/>
      <c r="D917" s="161"/>
      <c r="E917" s="162"/>
      <c r="F917" s="16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161"/>
      <c r="C918" s="4"/>
      <c r="D918" s="161"/>
      <c r="E918" s="162"/>
      <c r="F918" s="16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161"/>
      <c r="C919" s="4"/>
      <c r="D919" s="161"/>
      <c r="E919" s="162"/>
      <c r="F919" s="16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161"/>
      <c r="C920" s="4"/>
      <c r="D920" s="161"/>
      <c r="E920" s="162"/>
      <c r="F920" s="16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161"/>
      <c r="C921" s="4"/>
      <c r="D921" s="161"/>
      <c r="E921" s="162"/>
      <c r="F921" s="16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161"/>
      <c r="C922" s="4"/>
      <c r="D922" s="161"/>
      <c r="E922" s="162"/>
      <c r="F922" s="16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161"/>
      <c r="C923" s="4"/>
      <c r="D923" s="161"/>
      <c r="E923" s="162"/>
      <c r="F923" s="16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161"/>
      <c r="C924" s="4"/>
      <c r="D924" s="161"/>
      <c r="E924" s="162"/>
      <c r="F924" s="16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161"/>
      <c r="C925" s="4"/>
      <c r="D925" s="161"/>
      <c r="E925" s="162"/>
      <c r="F925" s="16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161"/>
      <c r="C926" s="4"/>
      <c r="D926" s="161"/>
      <c r="E926" s="162"/>
      <c r="F926" s="16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161"/>
      <c r="C927" s="4"/>
      <c r="D927" s="161"/>
      <c r="E927" s="162"/>
      <c r="F927" s="16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161"/>
      <c r="C928" s="4"/>
      <c r="D928" s="161"/>
      <c r="E928" s="162"/>
      <c r="F928" s="16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161"/>
      <c r="C929" s="4"/>
      <c r="D929" s="161"/>
      <c r="E929" s="162"/>
      <c r="F929" s="16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161"/>
      <c r="C930" s="4"/>
      <c r="D930" s="161"/>
      <c r="E930" s="162"/>
      <c r="F930" s="16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161"/>
      <c r="C931" s="4"/>
      <c r="D931" s="161"/>
      <c r="E931" s="162"/>
      <c r="F931" s="16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161"/>
      <c r="C932" s="4"/>
      <c r="D932" s="161"/>
      <c r="E932" s="162"/>
      <c r="F932" s="16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161"/>
      <c r="C933" s="4"/>
      <c r="D933" s="161"/>
      <c r="E933" s="162"/>
      <c r="F933" s="16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161"/>
      <c r="C934" s="4"/>
      <c r="D934" s="161"/>
      <c r="E934" s="162"/>
      <c r="F934" s="16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161"/>
      <c r="C935" s="4"/>
      <c r="D935" s="161"/>
      <c r="E935" s="162"/>
      <c r="F935" s="16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161"/>
      <c r="C936" s="4"/>
      <c r="D936" s="161"/>
      <c r="E936" s="162"/>
      <c r="F936" s="16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161"/>
      <c r="C937" s="4"/>
      <c r="D937" s="161"/>
      <c r="E937" s="162"/>
      <c r="F937" s="16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161"/>
      <c r="C938" s="4"/>
      <c r="D938" s="161"/>
      <c r="E938" s="162"/>
      <c r="F938" s="16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161"/>
      <c r="C939" s="4"/>
      <c r="D939" s="161"/>
      <c r="E939" s="162"/>
      <c r="F939" s="16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161"/>
      <c r="C940" s="4"/>
      <c r="D940" s="161"/>
      <c r="E940" s="162"/>
      <c r="F940" s="16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161"/>
      <c r="C941" s="4"/>
      <c r="D941" s="161"/>
      <c r="E941" s="162"/>
      <c r="F941" s="16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161"/>
      <c r="C942" s="4"/>
      <c r="D942" s="161"/>
      <c r="E942" s="162"/>
      <c r="F942" s="16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161"/>
      <c r="C943" s="4"/>
      <c r="D943" s="161"/>
      <c r="E943" s="162"/>
      <c r="F943" s="16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161"/>
      <c r="C944" s="4"/>
      <c r="D944" s="161"/>
      <c r="E944" s="162"/>
      <c r="F944" s="16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161"/>
      <c r="C945" s="4"/>
      <c r="D945" s="161"/>
      <c r="E945" s="162"/>
      <c r="F945" s="16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161"/>
      <c r="C946" s="4"/>
      <c r="D946" s="161"/>
      <c r="E946" s="162"/>
      <c r="F946" s="16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161"/>
      <c r="C947" s="4"/>
      <c r="D947" s="161"/>
      <c r="E947" s="162"/>
      <c r="F947" s="16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161"/>
      <c r="C948" s="4"/>
      <c r="D948" s="161"/>
      <c r="E948" s="162"/>
      <c r="F948" s="16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161"/>
      <c r="C949" s="4"/>
      <c r="D949" s="161"/>
      <c r="E949" s="162"/>
      <c r="F949" s="16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161"/>
      <c r="C950" s="4"/>
      <c r="D950" s="161"/>
      <c r="E950" s="162"/>
      <c r="F950" s="16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161"/>
      <c r="C951" s="4"/>
      <c r="D951" s="161"/>
      <c r="E951" s="162"/>
      <c r="F951" s="16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161"/>
      <c r="C952" s="4"/>
      <c r="D952" s="161"/>
      <c r="E952" s="162"/>
      <c r="F952" s="16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161"/>
      <c r="C953" s="4"/>
      <c r="D953" s="161"/>
      <c r="E953" s="162"/>
      <c r="F953" s="16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161"/>
      <c r="C954" s="4"/>
      <c r="D954" s="161"/>
      <c r="E954" s="162"/>
      <c r="F954" s="16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161"/>
      <c r="C955" s="4"/>
      <c r="D955" s="161"/>
      <c r="E955" s="162"/>
      <c r="F955" s="16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161"/>
      <c r="C956" s="4"/>
      <c r="D956" s="161"/>
      <c r="E956" s="162"/>
      <c r="F956" s="16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161"/>
      <c r="C957" s="4"/>
      <c r="D957" s="161"/>
      <c r="E957" s="162"/>
      <c r="F957" s="16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161"/>
      <c r="C958" s="4"/>
      <c r="D958" s="161"/>
      <c r="E958" s="162"/>
      <c r="F958" s="16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161"/>
      <c r="C959" s="4"/>
      <c r="D959" s="161"/>
      <c r="E959" s="162"/>
      <c r="F959" s="16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161"/>
      <c r="C960" s="4"/>
      <c r="D960" s="161"/>
      <c r="E960" s="162"/>
      <c r="F960" s="16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161"/>
      <c r="C961" s="4"/>
      <c r="D961" s="161"/>
      <c r="E961" s="162"/>
      <c r="F961" s="16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161"/>
      <c r="C962" s="4"/>
      <c r="D962" s="161"/>
      <c r="E962" s="162"/>
      <c r="F962" s="16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161"/>
      <c r="C963" s="4"/>
      <c r="D963" s="161"/>
      <c r="E963" s="162"/>
      <c r="F963" s="16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161"/>
      <c r="C964" s="4"/>
      <c r="D964" s="161"/>
      <c r="E964" s="162"/>
      <c r="F964" s="16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161"/>
      <c r="C965" s="4"/>
      <c r="D965" s="161"/>
      <c r="E965" s="162"/>
      <c r="F965" s="16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161"/>
      <c r="C966" s="4"/>
      <c r="D966" s="161"/>
      <c r="E966" s="162"/>
      <c r="F966" s="16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161"/>
      <c r="C967" s="4"/>
      <c r="D967" s="161"/>
      <c r="E967" s="162"/>
      <c r="F967" s="16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161"/>
      <c r="C968" s="4"/>
      <c r="D968" s="161"/>
      <c r="E968" s="162"/>
      <c r="F968" s="16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161"/>
      <c r="C969" s="4"/>
      <c r="D969" s="161"/>
      <c r="E969" s="162"/>
      <c r="F969" s="16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161"/>
      <c r="C970" s="4"/>
      <c r="D970" s="161"/>
      <c r="E970" s="162"/>
      <c r="F970" s="16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161"/>
      <c r="C971" s="4"/>
      <c r="D971" s="161"/>
      <c r="E971" s="162"/>
      <c r="F971" s="16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161"/>
      <c r="C972" s="4"/>
      <c r="D972" s="161"/>
      <c r="E972" s="162"/>
      <c r="F972" s="16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161"/>
      <c r="C973" s="4"/>
      <c r="D973" s="161"/>
      <c r="E973" s="162"/>
      <c r="F973" s="16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161"/>
      <c r="C974" s="4"/>
      <c r="D974" s="161"/>
      <c r="E974" s="162"/>
      <c r="F974" s="16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161"/>
      <c r="C975" s="4"/>
      <c r="D975" s="161"/>
      <c r="E975" s="162"/>
      <c r="F975" s="16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161"/>
      <c r="C976" s="4"/>
      <c r="D976" s="161"/>
      <c r="E976" s="162"/>
      <c r="F976" s="16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161"/>
      <c r="C977" s="4"/>
      <c r="D977" s="161"/>
      <c r="E977" s="162"/>
      <c r="F977" s="16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161"/>
      <c r="C978" s="4"/>
      <c r="D978" s="161"/>
      <c r="E978" s="162"/>
      <c r="F978" s="16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161"/>
      <c r="C979" s="4"/>
      <c r="D979" s="161"/>
      <c r="E979" s="162"/>
      <c r="F979" s="16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161"/>
      <c r="C980" s="4"/>
      <c r="D980" s="161"/>
      <c r="E980" s="162"/>
      <c r="F980" s="16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161"/>
      <c r="C981" s="4"/>
      <c r="D981" s="161"/>
      <c r="E981" s="162"/>
      <c r="F981" s="16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161"/>
      <c r="C982" s="4"/>
      <c r="D982" s="161"/>
      <c r="E982" s="162"/>
      <c r="F982" s="16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161"/>
      <c r="C983" s="4"/>
      <c r="D983" s="161"/>
      <c r="E983" s="162"/>
      <c r="F983" s="16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161"/>
      <c r="C984" s="4"/>
      <c r="D984" s="161"/>
      <c r="E984" s="162"/>
      <c r="F984" s="16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161"/>
      <c r="C985" s="4"/>
      <c r="D985" s="161"/>
      <c r="E985" s="162"/>
      <c r="F985" s="16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161"/>
      <c r="C986" s="4"/>
      <c r="D986" s="161"/>
      <c r="E986" s="162"/>
      <c r="F986" s="16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161"/>
      <c r="C987" s="4"/>
      <c r="D987" s="161"/>
      <c r="E987" s="162"/>
      <c r="F987" s="16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161"/>
      <c r="C988" s="4"/>
      <c r="D988" s="161"/>
      <c r="E988" s="162"/>
      <c r="F988" s="16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161"/>
      <c r="C989" s="4"/>
      <c r="D989" s="161"/>
      <c r="E989" s="162"/>
      <c r="F989" s="16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161"/>
      <c r="C990" s="4"/>
      <c r="D990" s="161"/>
      <c r="E990" s="162"/>
      <c r="F990" s="16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161"/>
      <c r="C991" s="4"/>
      <c r="D991" s="161"/>
      <c r="E991" s="162"/>
      <c r="F991" s="16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161"/>
      <c r="C992" s="4"/>
      <c r="D992" s="161"/>
      <c r="E992" s="162"/>
      <c r="F992" s="16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161"/>
      <c r="C993" s="4"/>
      <c r="D993" s="161"/>
      <c r="E993" s="162"/>
      <c r="F993" s="16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161"/>
      <c r="C994" s="4"/>
      <c r="D994" s="161"/>
      <c r="E994" s="162"/>
      <c r="F994" s="16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161"/>
      <c r="C995" s="4"/>
      <c r="D995" s="161"/>
      <c r="E995" s="162"/>
      <c r="F995" s="16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161"/>
      <c r="C996" s="4"/>
      <c r="D996" s="161"/>
      <c r="E996" s="162"/>
      <c r="F996" s="16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161"/>
      <c r="C997" s="4"/>
      <c r="D997" s="161"/>
      <c r="E997" s="162"/>
      <c r="F997" s="16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161"/>
      <c r="C998" s="4"/>
      <c r="D998" s="161"/>
      <c r="E998" s="162"/>
      <c r="F998" s="16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161"/>
      <c r="C999" s="4"/>
      <c r="D999" s="161"/>
      <c r="E999" s="162"/>
      <c r="F999" s="16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161"/>
      <c r="C1000" s="4"/>
      <c r="D1000" s="161"/>
      <c r="E1000" s="162"/>
      <c r="F1000" s="16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3">
      <c r="A1001" s="4"/>
      <c r="B1001" s="161"/>
      <c r="C1001" s="4"/>
      <c r="D1001" s="161"/>
      <c r="E1001" s="162"/>
      <c r="F1001" s="16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 x14ac:dyDescent="0.3">
      <c r="A1002" s="4"/>
      <c r="B1002" s="161"/>
      <c r="C1002" s="4"/>
      <c r="D1002" s="161"/>
      <c r="E1002" s="162"/>
      <c r="F1002" s="16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 x14ac:dyDescent="0.3">
      <c r="A1003" s="4"/>
      <c r="B1003" s="161"/>
      <c r="C1003" s="4"/>
      <c r="D1003" s="161"/>
      <c r="E1003" s="162"/>
      <c r="F1003" s="16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 x14ac:dyDescent="0.3">
      <c r="A1004" s="4"/>
      <c r="B1004" s="161"/>
      <c r="C1004" s="4"/>
      <c r="D1004" s="161"/>
      <c r="E1004" s="162"/>
      <c r="F1004" s="16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 x14ac:dyDescent="0.3">
      <c r="A1005" s="4"/>
      <c r="B1005" s="161"/>
      <c r="C1005" s="4"/>
      <c r="D1005" s="161"/>
      <c r="E1005" s="162"/>
      <c r="F1005" s="16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.75" customHeight="1" x14ac:dyDescent="0.25"/>
    <row r="1007" spans="1:26" ht="12.75" customHeight="1" x14ac:dyDescent="0.25"/>
  </sheetData>
  <autoFilter ref="A1:D356">
    <filterColumn colId="0">
      <filters blank="1">
        <filter val="Alvilardan"/>
        <filter val="Asssolim"/>
        <filter val="Cam Alt."/>
        <filter val="COCTEL"/>
        <filter val="Disbesa."/>
        <filter val="L'orangette"/>
        <filter val="M.PCarnes bundo"/>
        <filter val="Pau gavalda."/>
        <filter val="Pescado Josep"/>
        <filter val="Pescado Josep."/>
        <filter val="Sarda"/>
        <filter val="Tot Selecte"/>
        <filter val="Vermouth Padro"/>
        <filter val="Vermuth Padro."/>
        <filter val="ZAvicsa"/>
      </filters>
    </filterColumn>
  </autoFilter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989"/>
  <sheetViews>
    <sheetView workbookViewId="0"/>
  </sheetViews>
  <sheetFormatPr baseColWidth="10" defaultColWidth="12.6640625" defaultRowHeight="15" customHeight="1" x14ac:dyDescent="0.25"/>
  <cols>
    <col min="1" max="1" width="9.21875" style="302" customWidth="1"/>
    <col min="2" max="2" width="62.21875" style="302" customWidth="1"/>
    <col min="3" max="10" width="11.33203125" style="302" customWidth="1"/>
    <col min="11" max="11" width="17" style="302" customWidth="1"/>
    <col min="12" max="12" width="55.6640625" style="302" customWidth="1"/>
    <col min="13" max="13" width="11.33203125" style="302" customWidth="1"/>
    <col min="14" max="26" width="8.6640625" style="302" customWidth="1"/>
  </cols>
  <sheetData>
    <row r="1" spans="1:26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26" ht="12.75" customHeight="1" x14ac:dyDescent="0.3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spans="1:26" ht="12.75" customHeight="1" x14ac:dyDescent="0.3">
      <c r="A3" s="167"/>
      <c r="B3" s="166"/>
      <c r="C3" s="303" t="s">
        <v>405</v>
      </c>
      <c r="D3" s="304"/>
      <c r="E3" s="304"/>
      <c r="F3" s="304"/>
      <c r="G3" s="304"/>
      <c r="H3" s="304"/>
      <c r="I3" s="304"/>
      <c r="J3" s="304"/>
      <c r="K3" s="305"/>
      <c r="L3" s="166"/>
      <c r="M3" s="167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spans="1:26" ht="12.75" customHeight="1" x14ac:dyDescent="0.3">
      <c r="A4" s="167"/>
      <c r="B4" s="166"/>
      <c r="C4" s="316" t="s">
        <v>406</v>
      </c>
      <c r="D4" s="304"/>
      <c r="E4" s="304"/>
      <c r="F4" s="304"/>
      <c r="G4" s="304"/>
      <c r="H4" s="304"/>
      <c r="I4" s="304"/>
      <c r="J4" s="304"/>
      <c r="K4" s="305"/>
      <c r="L4" s="166"/>
      <c r="M4" s="167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spans="1:26" ht="12.75" customHeight="1" x14ac:dyDescent="0.3">
      <c r="A5" s="167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7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spans="1:26" ht="12.75" customHeight="1" x14ac:dyDescent="0.3">
      <c r="A6" s="167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7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spans="1:26" ht="12.75" customHeight="1" x14ac:dyDescent="0.3">
      <c r="A7" s="167"/>
      <c r="B7" s="167"/>
      <c r="C7" s="168" t="s">
        <v>407</v>
      </c>
      <c r="D7" s="309" t="s">
        <v>408</v>
      </c>
      <c r="E7" s="310"/>
      <c r="F7" s="310"/>
      <c r="G7" s="310"/>
      <c r="H7" s="310"/>
      <c r="I7" s="310"/>
      <c r="J7" s="310"/>
      <c r="K7" s="310"/>
      <c r="L7" s="166"/>
      <c r="M7" s="167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spans="1:26" ht="12.75" customHeight="1" x14ac:dyDescent="0.3">
      <c r="A8" s="169"/>
      <c r="B8" s="169"/>
      <c r="C8" s="170" t="s">
        <v>409</v>
      </c>
      <c r="D8" s="311" t="s">
        <v>410</v>
      </c>
      <c r="E8" s="312"/>
      <c r="F8" s="312"/>
      <c r="G8" s="313"/>
      <c r="H8" s="321"/>
      <c r="I8" s="308"/>
      <c r="J8" s="320"/>
      <c r="K8" s="308"/>
      <c r="L8" s="167"/>
      <c r="M8" s="167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spans="1:26" ht="12.75" customHeight="1" x14ac:dyDescent="0.3">
      <c r="A9" s="167"/>
      <c r="B9" s="166"/>
      <c r="C9" s="171" t="s">
        <v>411</v>
      </c>
      <c r="D9" s="260">
        <v>1</v>
      </c>
      <c r="E9" s="317" t="s">
        <v>412</v>
      </c>
      <c r="F9" s="318"/>
      <c r="G9" s="172">
        <f>SUM(K12:K14)</f>
        <v>1.64975</v>
      </c>
      <c r="H9" s="314" t="s">
        <v>413</v>
      </c>
      <c r="I9" s="315"/>
      <c r="J9" s="261">
        <f>G9/D9</f>
        <v>1.64975</v>
      </c>
      <c r="K9" s="173"/>
      <c r="L9" s="166"/>
      <c r="M9" s="167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spans="1:26" ht="12.75" customHeight="1" x14ac:dyDescent="0.3">
      <c r="A10" s="167"/>
      <c r="B10" s="174"/>
      <c r="C10" s="174"/>
      <c r="D10" s="174"/>
      <c r="E10" s="174"/>
      <c r="F10" s="174"/>
      <c r="G10" s="174"/>
      <c r="H10" s="174"/>
      <c r="I10" s="174"/>
      <c r="J10" s="166"/>
      <c r="K10" s="166"/>
      <c r="L10" s="166"/>
      <c r="M10" s="167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spans="1:26" ht="12.75" customHeight="1" x14ac:dyDescent="0.3">
      <c r="A11" s="167"/>
      <c r="B11" s="175" t="s">
        <v>414</v>
      </c>
      <c r="C11" s="219" t="s">
        <v>415</v>
      </c>
      <c r="D11" s="219" t="s">
        <v>416</v>
      </c>
      <c r="E11" s="219" t="s">
        <v>417</v>
      </c>
      <c r="F11" s="219" t="s">
        <v>418</v>
      </c>
      <c r="G11" s="219" t="s">
        <v>419</v>
      </c>
      <c r="H11" s="219" t="s">
        <v>420</v>
      </c>
      <c r="I11" s="219" t="s">
        <v>421</v>
      </c>
      <c r="J11" s="219" t="s">
        <v>422</v>
      </c>
      <c r="K11" s="220" t="s">
        <v>423</v>
      </c>
      <c r="L11" s="166"/>
      <c r="M11" s="167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spans="1:26" ht="12.75" customHeight="1" x14ac:dyDescent="0.3">
      <c r="A12" s="167"/>
      <c r="B12" s="178" t="s">
        <v>251</v>
      </c>
      <c r="C12" s="262">
        <v>0.1</v>
      </c>
      <c r="D12" s="263">
        <f>IF(ISNA(VLOOKUP(B12,'Listado de Artículos'!$B$16:$F$1328,5,0)),0,(VLOOKUP(B12,'Listado de Artículos'!$B$16:$F$1328,5,0)))</f>
        <v>5.62</v>
      </c>
      <c r="E12" s="262">
        <v>1</v>
      </c>
      <c r="F12" s="262">
        <v>1</v>
      </c>
      <c r="G12" s="264">
        <f>IF(E12&gt;0,(F12/E12),"")</f>
        <v>1</v>
      </c>
      <c r="H12" s="264">
        <f>IF(E12&gt;0,(100%-G12),"")</f>
        <v>0</v>
      </c>
      <c r="I12" s="265">
        <f>IF(C12&gt;0,(H12*C12/G12),"")</f>
        <v>0</v>
      </c>
      <c r="J12" s="265">
        <f>IF(C12&gt;0,(C12+I12),"")</f>
        <v>0.1</v>
      </c>
      <c r="K12" s="211">
        <f>IF(D12&gt;0,(D12*J12),"")</f>
        <v>0.56200000000000006</v>
      </c>
      <c r="L12" s="166"/>
      <c r="M12" s="167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spans="1:26" ht="12.75" customHeight="1" x14ac:dyDescent="0.3">
      <c r="A13" s="167"/>
      <c r="B13" s="177" t="s">
        <v>257</v>
      </c>
      <c r="C13" s="262">
        <v>5.0000000000000001E-3</v>
      </c>
      <c r="D13" s="263">
        <f>IF(ISNA(VLOOKUP(B13,'Listado de Artículos'!$B$16:$F$1328,5,0)),0,(VLOOKUP(B13,'Listado de Artículos'!$B$16:$F$1328,5,0)))</f>
        <v>17.55</v>
      </c>
      <c r="E13" s="262">
        <v>1</v>
      </c>
      <c r="F13" s="262">
        <v>1</v>
      </c>
      <c r="G13" s="264">
        <f>IF(E13&gt;0,(F13/E13),"")</f>
        <v>1</v>
      </c>
      <c r="H13" s="264">
        <f>IF(E13&gt;0,(100%-G13),"")</f>
        <v>0</v>
      </c>
      <c r="I13" s="265">
        <f>IF(C13&gt;0,(H13*C13/G13),"")</f>
        <v>0</v>
      </c>
      <c r="J13" s="265">
        <f>IF(C13&gt;0,(C13+I13),"")</f>
        <v>5.0000000000000001E-3</v>
      </c>
      <c r="K13" s="211">
        <f>IF(D13&gt;0,(D13*J13),"")</f>
        <v>8.7750000000000009E-2</v>
      </c>
      <c r="L13" s="166"/>
      <c r="M13" s="167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spans="1:26" ht="12.75" customHeight="1" x14ac:dyDescent="0.3">
      <c r="A14" s="167"/>
      <c r="B14" s="176" t="s">
        <v>393</v>
      </c>
      <c r="C14" s="266">
        <v>1</v>
      </c>
      <c r="D14" s="267">
        <f>IF(ISNA(VLOOKUP(B14,'Listado de Artículos'!$B$16:$F$1328,5,0)),0,(VLOOKUP(B14,'Listado de Artículos'!$B$16:$F$1328,5,0)))</f>
        <v>1</v>
      </c>
      <c r="E14" s="266">
        <v>1</v>
      </c>
      <c r="F14" s="266">
        <v>1</v>
      </c>
      <c r="G14" s="268">
        <f>IF(E14&gt;0,(F14/E14),"")</f>
        <v>1</v>
      </c>
      <c r="H14" s="268">
        <f>IF(E14&gt;0,(100%-G14),"")</f>
        <v>0</v>
      </c>
      <c r="I14" s="269">
        <f>IF(C14&gt;0,(H14*C14/G14),"")</f>
        <v>0</v>
      </c>
      <c r="J14" s="269">
        <f>IF(C14&gt;0,(C14+I14),"")</f>
        <v>1</v>
      </c>
      <c r="K14" s="224">
        <f>IF(D14&gt;0,(D14*J14),"")</f>
        <v>1</v>
      </c>
      <c r="L14" s="166"/>
      <c r="M14" s="167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spans="1:26" ht="12.75" customHeight="1" x14ac:dyDescent="0.3">
      <c r="A15" s="167"/>
      <c r="B15" s="174"/>
      <c r="C15" s="306"/>
      <c r="D15" s="304"/>
      <c r="E15" s="304"/>
      <c r="F15" s="304"/>
      <c r="G15" s="304"/>
      <c r="H15" s="304"/>
      <c r="I15" s="304"/>
      <c r="J15" s="166"/>
      <c r="K15" s="166"/>
      <c r="L15" s="166"/>
      <c r="M15" s="167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spans="1:26" ht="12.75" customHeight="1" x14ac:dyDescent="0.3">
      <c r="A16" s="164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4"/>
    </row>
    <row r="17" spans="1:26" ht="12.75" customHeight="1" x14ac:dyDescent="0.3">
      <c r="A17" s="167"/>
      <c r="B17" s="166"/>
      <c r="C17" s="303" t="s">
        <v>405</v>
      </c>
      <c r="D17" s="304"/>
      <c r="E17" s="304"/>
      <c r="F17" s="304"/>
      <c r="G17" s="304"/>
      <c r="H17" s="304"/>
      <c r="I17" s="304"/>
      <c r="J17" s="304"/>
      <c r="K17" s="305"/>
      <c r="L17" s="166"/>
      <c r="M17" s="167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spans="1:26" ht="12.75" customHeight="1" x14ac:dyDescent="0.3">
      <c r="A18" s="167"/>
      <c r="B18" s="166"/>
      <c r="C18" s="316" t="s">
        <v>406</v>
      </c>
      <c r="D18" s="304"/>
      <c r="E18" s="304"/>
      <c r="F18" s="304"/>
      <c r="G18" s="304"/>
      <c r="H18" s="304"/>
      <c r="I18" s="304"/>
      <c r="J18" s="304"/>
      <c r="K18" s="305"/>
      <c r="L18" s="166"/>
      <c r="M18" s="167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spans="1:26" ht="12.75" customHeight="1" x14ac:dyDescent="0.3">
      <c r="A19" s="167"/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7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spans="1:26" ht="12.75" customHeight="1" x14ac:dyDescent="0.3">
      <c r="A20" s="167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7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spans="1:26" ht="12.75" customHeight="1" x14ac:dyDescent="0.3">
      <c r="A21" s="167"/>
      <c r="B21" s="167"/>
      <c r="C21" s="168" t="s">
        <v>407</v>
      </c>
      <c r="D21" s="309" t="s">
        <v>424</v>
      </c>
      <c r="E21" s="310"/>
      <c r="F21" s="310"/>
      <c r="G21" s="310"/>
      <c r="H21" s="310"/>
      <c r="I21" s="310"/>
      <c r="J21" s="310"/>
      <c r="K21" s="310"/>
      <c r="L21" s="166"/>
      <c r="M21" s="167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spans="1:26" ht="12.75" customHeight="1" x14ac:dyDescent="0.3">
      <c r="A22" s="169"/>
      <c r="B22" s="169"/>
      <c r="C22" s="170" t="s">
        <v>409</v>
      </c>
      <c r="D22" s="311" t="s">
        <v>425</v>
      </c>
      <c r="E22" s="312"/>
      <c r="F22" s="312"/>
      <c r="G22" s="313"/>
      <c r="H22" s="319" t="s">
        <v>426</v>
      </c>
      <c r="I22" s="315"/>
      <c r="J22" s="307"/>
      <c r="K22" s="308"/>
      <c r="L22" s="167"/>
      <c r="M22" s="167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 spans="1:26" ht="12.75" customHeight="1" x14ac:dyDescent="0.3">
      <c r="A23" s="167"/>
      <c r="B23" s="166"/>
      <c r="C23" s="171" t="s">
        <v>411</v>
      </c>
      <c r="D23" s="207">
        <v>4</v>
      </c>
      <c r="E23" s="317" t="s">
        <v>412</v>
      </c>
      <c r="F23" s="318"/>
      <c r="G23" s="172">
        <f>SUM(K26:K33)</f>
        <v>6.8215000000000003</v>
      </c>
      <c r="H23" s="314" t="s">
        <v>427</v>
      </c>
      <c r="I23" s="315"/>
      <c r="J23" s="261">
        <f>G23/D23</f>
        <v>1.7053750000000001</v>
      </c>
      <c r="K23" s="270"/>
      <c r="L23" s="166"/>
      <c r="M23" s="167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 spans="1:26" ht="12.75" customHeight="1" x14ac:dyDescent="0.3">
      <c r="A24" s="167"/>
      <c r="B24" s="174"/>
      <c r="C24" s="174"/>
      <c r="D24" s="174"/>
      <c r="E24" s="174"/>
      <c r="F24" s="174"/>
      <c r="G24" s="174"/>
      <c r="H24" s="174"/>
      <c r="I24" s="174"/>
      <c r="J24" s="166"/>
      <c r="K24" s="166"/>
      <c r="L24" s="166"/>
      <c r="M24" s="167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 spans="1:26" ht="12.75" customHeight="1" x14ac:dyDescent="0.3">
      <c r="A25" s="167"/>
      <c r="B25" s="175" t="s">
        <v>414</v>
      </c>
      <c r="C25" s="219" t="s">
        <v>415</v>
      </c>
      <c r="D25" s="219" t="s">
        <v>416</v>
      </c>
      <c r="E25" s="219" t="s">
        <v>417</v>
      </c>
      <c r="F25" s="219" t="s">
        <v>418</v>
      </c>
      <c r="G25" s="219" t="s">
        <v>419</v>
      </c>
      <c r="H25" s="219" t="s">
        <v>420</v>
      </c>
      <c r="I25" s="219" t="s">
        <v>421</v>
      </c>
      <c r="J25" s="219" t="s">
        <v>422</v>
      </c>
      <c r="K25" s="220" t="s">
        <v>423</v>
      </c>
      <c r="L25" s="166"/>
      <c r="M25" s="167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 spans="1:26" ht="12.75" customHeight="1" x14ac:dyDescent="0.3">
      <c r="A26" s="167"/>
      <c r="B26" s="177" t="s">
        <v>280</v>
      </c>
      <c r="C26" s="262">
        <v>0.3</v>
      </c>
      <c r="D26" s="263">
        <f>IF(ISNA(VLOOKUP(B26,'Listado de Artículos'!$B$16:$F$1328,5,0)),0,(VLOOKUP(B26,'Listado de Artículos'!$B$16:$F$1328,5,0)))</f>
        <v>2</v>
      </c>
      <c r="E26" s="262">
        <v>1</v>
      </c>
      <c r="F26" s="262">
        <v>1</v>
      </c>
      <c r="G26" s="264">
        <f t="shared" ref="G26:G33" si="0">IF(E26&gt;0,(F26/E26),"")</f>
        <v>1</v>
      </c>
      <c r="H26" s="264">
        <f t="shared" ref="H26:H33" si="1">IF(E26&gt;0,(100%-G26),"")</f>
        <v>0</v>
      </c>
      <c r="I26" s="265">
        <f t="shared" ref="I26:I33" si="2">IF(C26&gt;0,(H26*C26/G26),"")</f>
        <v>0</v>
      </c>
      <c r="J26" s="265">
        <f t="shared" ref="J26:J33" si="3">IF(C26&gt;0,(C26+I26),"")</f>
        <v>0.3</v>
      </c>
      <c r="K26" s="211">
        <f t="shared" ref="K26:K33" si="4">IF(D26&gt;0,(D26*J26),"")</f>
        <v>0.6</v>
      </c>
      <c r="L26" s="166"/>
      <c r="M26" s="167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 spans="1:26" ht="12.75" customHeight="1" x14ac:dyDescent="0.3">
      <c r="A27" s="167"/>
      <c r="B27" s="177" t="s">
        <v>240</v>
      </c>
      <c r="C27" s="262">
        <v>0.05</v>
      </c>
      <c r="D27" s="263">
        <f>IF(ISNA(VLOOKUP(B27,'Listado de Artículos'!$B$16:$F$1328,5,0)),0,(VLOOKUP(B27,'Listado de Artículos'!$B$16:$F$1328,5,0)))</f>
        <v>16.72</v>
      </c>
      <c r="E27" s="262">
        <v>1</v>
      </c>
      <c r="F27" s="262">
        <v>1</v>
      </c>
      <c r="G27" s="264">
        <f t="shared" si="0"/>
        <v>1</v>
      </c>
      <c r="H27" s="264">
        <f t="shared" si="1"/>
        <v>0</v>
      </c>
      <c r="I27" s="265">
        <f t="shared" si="2"/>
        <v>0</v>
      </c>
      <c r="J27" s="265">
        <f t="shared" si="3"/>
        <v>0.05</v>
      </c>
      <c r="K27" s="211">
        <f t="shared" si="4"/>
        <v>0.83599999999999997</v>
      </c>
      <c r="L27" s="166"/>
      <c r="M27" s="167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spans="1:26" ht="12.75" customHeight="1" x14ac:dyDescent="0.3">
      <c r="A28" s="167"/>
      <c r="B28" s="177" t="s">
        <v>367</v>
      </c>
      <c r="C28" s="262">
        <v>0.19</v>
      </c>
      <c r="D28" s="263">
        <f>IF(ISNA(VLOOKUP(B28,'Listado de Artículos'!$B$16:$F$1328,5,0)),0,(VLOOKUP(B28,'Listado de Artículos'!$B$16:$F$1328,5,0)))</f>
        <v>10.5</v>
      </c>
      <c r="E28" s="262">
        <v>1</v>
      </c>
      <c r="F28" s="262">
        <v>1</v>
      </c>
      <c r="G28" s="264">
        <f t="shared" si="0"/>
        <v>1</v>
      </c>
      <c r="H28" s="264">
        <f t="shared" si="1"/>
        <v>0</v>
      </c>
      <c r="I28" s="265">
        <f t="shared" si="2"/>
        <v>0</v>
      </c>
      <c r="J28" s="265">
        <f t="shared" si="3"/>
        <v>0.19</v>
      </c>
      <c r="K28" s="211">
        <f t="shared" si="4"/>
        <v>1.9950000000000001</v>
      </c>
      <c r="L28" s="166"/>
      <c r="M28" s="167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spans="1:26" ht="12.75" customHeight="1" x14ac:dyDescent="0.3">
      <c r="A29" s="167"/>
      <c r="B29" s="177" t="s">
        <v>231</v>
      </c>
      <c r="C29" s="262">
        <v>0.1</v>
      </c>
      <c r="D29" s="263">
        <f>IF(ISNA(VLOOKUP(B29,'Listado de Artículos'!$B$16:$F$1328,5,0)),0,(VLOOKUP(B29,'Listado de Artículos'!$B$16:$F$1328,5,0)))</f>
        <v>1.38</v>
      </c>
      <c r="E29" s="262">
        <v>1</v>
      </c>
      <c r="F29" s="262">
        <v>1</v>
      </c>
      <c r="G29" s="264">
        <f t="shared" si="0"/>
        <v>1</v>
      </c>
      <c r="H29" s="264">
        <f t="shared" si="1"/>
        <v>0</v>
      </c>
      <c r="I29" s="265">
        <f t="shared" si="2"/>
        <v>0</v>
      </c>
      <c r="J29" s="265">
        <f t="shared" si="3"/>
        <v>0.1</v>
      </c>
      <c r="K29" s="211">
        <f t="shared" si="4"/>
        <v>0.13799999999999998</v>
      </c>
      <c r="L29" s="166"/>
      <c r="M29" s="167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spans="1:26" ht="12.75" customHeight="1" x14ac:dyDescent="0.3">
      <c r="A30" s="167"/>
      <c r="B30" s="177" t="s">
        <v>360</v>
      </c>
      <c r="C30" s="262">
        <v>0.15</v>
      </c>
      <c r="D30" s="263">
        <f>IF(ISNA(VLOOKUP(B30,'Listado de Artículos'!$B$16:$F$1328,5,0)),0,(VLOOKUP(B30,'Listado de Artículos'!$B$16:$F$1328,5,0)))</f>
        <v>4.25</v>
      </c>
      <c r="E30" s="262">
        <v>1</v>
      </c>
      <c r="F30" s="262">
        <v>1</v>
      </c>
      <c r="G30" s="264">
        <f t="shared" si="0"/>
        <v>1</v>
      </c>
      <c r="H30" s="264">
        <f t="shared" si="1"/>
        <v>0</v>
      </c>
      <c r="I30" s="265">
        <f t="shared" si="2"/>
        <v>0</v>
      </c>
      <c r="J30" s="265">
        <f t="shared" si="3"/>
        <v>0.15</v>
      </c>
      <c r="K30" s="211">
        <f t="shared" si="4"/>
        <v>0.63749999999999996</v>
      </c>
      <c r="L30" s="166"/>
      <c r="M30" s="167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spans="1:26" ht="12.75" customHeight="1" x14ac:dyDescent="0.3">
      <c r="A31" s="167"/>
      <c r="B31" s="177" t="s">
        <v>211</v>
      </c>
      <c r="C31" s="262">
        <v>1</v>
      </c>
      <c r="D31" s="263">
        <f>IF(ISNA(VLOOKUP(B31,'Listado de Artículos'!$B$16:$F$1328,5,0)),0,(VLOOKUP(B31,'Listado de Artículos'!$B$16:$F$1328,5,0)))</f>
        <v>0.26</v>
      </c>
      <c r="E31" s="262">
        <v>1</v>
      </c>
      <c r="F31" s="262">
        <v>1</v>
      </c>
      <c r="G31" s="264">
        <f t="shared" si="0"/>
        <v>1</v>
      </c>
      <c r="H31" s="264">
        <f t="shared" si="1"/>
        <v>0</v>
      </c>
      <c r="I31" s="265">
        <f t="shared" si="2"/>
        <v>0</v>
      </c>
      <c r="J31" s="265">
        <f t="shared" si="3"/>
        <v>1</v>
      </c>
      <c r="K31" s="211">
        <f t="shared" si="4"/>
        <v>0.26</v>
      </c>
      <c r="L31" s="166"/>
      <c r="M31" s="167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 spans="1:26" ht="12.75" customHeight="1" x14ac:dyDescent="0.3">
      <c r="A32" s="167"/>
      <c r="B32" s="177" t="s">
        <v>264</v>
      </c>
      <c r="C32" s="262">
        <v>0.05</v>
      </c>
      <c r="D32" s="263">
        <f>IF(ISNA(VLOOKUP(B32,'Listado de Artículos'!$B$16:$F$1328,5,0)),0,(VLOOKUP(B32,'Listado de Artículos'!$B$16:$F$1328,5,0)))</f>
        <v>13</v>
      </c>
      <c r="E32" s="262">
        <v>1</v>
      </c>
      <c r="F32" s="262">
        <v>1</v>
      </c>
      <c r="G32" s="264">
        <f t="shared" si="0"/>
        <v>1</v>
      </c>
      <c r="H32" s="264">
        <f t="shared" si="1"/>
        <v>0</v>
      </c>
      <c r="I32" s="265">
        <f t="shared" si="2"/>
        <v>0</v>
      </c>
      <c r="J32" s="265">
        <f t="shared" si="3"/>
        <v>0.05</v>
      </c>
      <c r="K32" s="211">
        <f t="shared" si="4"/>
        <v>0.65</v>
      </c>
      <c r="L32" s="166"/>
      <c r="M32" s="167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 spans="1:26" ht="12.75" customHeight="1" x14ac:dyDescent="0.3">
      <c r="A33" s="167"/>
      <c r="B33" s="176" t="s">
        <v>269</v>
      </c>
      <c r="C33" s="266">
        <v>0.1</v>
      </c>
      <c r="D33" s="267">
        <f>IF(ISNA(VLOOKUP(B33,'Listado de Artículos'!$B$16:$F$1328,5,0)),0,(VLOOKUP(B33,'Listado de Artículos'!$B$16:$F$1328,5,0)))</f>
        <v>17.05</v>
      </c>
      <c r="E33" s="266">
        <v>1</v>
      </c>
      <c r="F33" s="266">
        <v>1</v>
      </c>
      <c r="G33" s="268">
        <f t="shared" si="0"/>
        <v>1</v>
      </c>
      <c r="H33" s="268">
        <f t="shared" si="1"/>
        <v>0</v>
      </c>
      <c r="I33" s="269">
        <f t="shared" si="2"/>
        <v>0</v>
      </c>
      <c r="J33" s="269">
        <f t="shared" si="3"/>
        <v>0.1</v>
      </c>
      <c r="K33" s="224">
        <f t="shared" si="4"/>
        <v>1.7050000000000001</v>
      </c>
      <c r="L33" s="166"/>
      <c r="M33" s="167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spans="1:26" ht="12.75" customHeight="1" x14ac:dyDescent="0.3">
      <c r="A34" s="167"/>
      <c r="B34" s="174"/>
      <c r="C34" s="306"/>
      <c r="D34" s="304"/>
      <c r="E34" s="304"/>
      <c r="F34" s="304"/>
      <c r="G34" s="304"/>
      <c r="H34" s="304"/>
      <c r="I34" s="304"/>
      <c r="J34" s="166"/>
      <c r="K34" s="166"/>
      <c r="L34" s="166"/>
      <c r="M34" s="167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 spans="1:26" ht="12.75" customHeight="1" x14ac:dyDescent="0.3">
      <c r="A35" s="164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4"/>
    </row>
    <row r="36" spans="1:26" ht="12.75" customHeight="1" x14ac:dyDescent="0.3">
      <c r="A36" s="167"/>
      <c r="B36" s="166"/>
      <c r="C36" s="303" t="s">
        <v>405</v>
      </c>
      <c r="D36" s="304"/>
      <c r="E36" s="304"/>
      <c r="F36" s="304"/>
      <c r="G36" s="304"/>
      <c r="H36" s="304"/>
      <c r="I36" s="304"/>
      <c r="J36" s="304"/>
      <c r="K36" s="305"/>
      <c r="L36" s="166"/>
      <c r="M36" s="167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spans="1:26" ht="12.75" customHeight="1" x14ac:dyDescent="0.3">
      <c r="A37" s="167"/>
      <c r="B37" s="166"/>
      <c r="C37" s="316" t="s">
        <v>406</v>
      </c>
      <c r="D37" s="304"/>
      <c r="E37" s="304"/>
      <c r="F37" s="304"/>
      <c r="G37" s="304"/>
      <c r="H37" s="304"/>
      <c r="I37" s="304"/>
      <c r="J37" s="304"/>
      <c r="K37" s="305"/>
      <c r="L37" s="166"/>
      <c r="M37" s="167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spans="1:26" ht="12.75" customHeight="1" x14ac:dyDescent="0.3">
      <c r="A38" s="167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7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spans="1:26" ht="12.75" customHeight="1" x14ac:dyDescent="0.3">
      <c r="A39" s="167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7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spans="1:26" ht="12.75" customHeight="1" x14ac:dyDescent="0.3">
      <c r="A40" s="167"/>
      <c r="B40" s="167"/>
      <c r="C40" s="168" t="s">
        <v>407</v>
      </c>
      <c r="D40" s="309" t="s">
        <v>428</v>
      </c>
      <c r="E40" s="310"/>
      <c r="F40" s="310"/>
      <c r="G40" s="310"/>
      <c r="H40" s="310"/>
      <c r="I40" s="310"/>
      <c r="J40" s="310"/>
      <c r="K40" s="310"/>
      <c r="L40" s="166"/>
      <c r="M40" s="167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spans="1:26" ht="12.75" customHeight="1" x14ac:dyDescent="0.3">
      <c r="A41" s="169"/>
      <c r="B41" s="169"/>
      <c r="C41" s="170" t="s">
        <v>409</v>
      </c>
      <c r="D41" s="311" t="s">
        <v>410</v>
      </c>
      <c r="E41" s="312"/>
      <c r="F41" s="312"/>
      <c r="G41" s="313"/>
      <c r="H41" s="319"/>
      <c r="I41" s="315"/>
      <c r="J41" s="307"/>
      <c r="K41" s="308"/>
      <c r="L41" s="167"/>
      <c r="M41" s="167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spans="1:26" ht="12.75" customHeight="1" x14ac:dyDescent="0.3">
      <c r="A42" s="167"/>
      <c r="B42" s="166"/>
      <c r="C42" s="171" t="s">
        <v>411</v>
      </c>
      <c r="D42" s="207">
        <v>4</v>
      </c>
      <c r="E42" s="317" t="s">
        <v>412</v>
      </c>
      <c r="F42" s="318"/>
      <c r="G42" s="172">
        <f>SUM(K45:K50)</f>
        <v>5.1827500000000004</v>
      </c>
      <c r="H42" s="314" t="s">
        <v>427</v>
      </c>
      <c r="I42" s="315"/>
      <c r="J42" s="261">
        <f>G42/D42</f>
        <v>1.2956875000000001</v>
      </c>
      <c r="K42" s="270"/>
      <c r="L42" s="166"/>
      <c r="M42" s="167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spans="1:26" ht="12.75" customHeight="1" x14ac:dyDescent="0.3">
      <c r="A43" s="167"/>
      <c r="B43" s="174"/>
      <c r="C43" s="174"/>
      <c r="D43" s="174"/>
      <c r="E43" s="174"/>
      <c r="F43" s="174"/>
      <c r="G43" s="174"/>
      <c r="H43" s="174"/>
      <c r="I43" s="174"/>
      <c r="J43" s="166"/>
      <c r="K43" s="166"/>
      <c r="L43" s="166"/>
      <c r="M43" s="167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spans="1:26" ht="12.75" customHeight="1" x14ac:dyDescent="0.3">
      <c r="A44" s="167"/>
      <c r="B44" s="175" t="s">
        <v>414</v>
      </c>
      <c r="C44" s="219" t="s">
        <v>415</v>
      </c>
      <c r="D44" s="219" t="s">
        <v>416</v>
      </c>
      <c r="E44" s="219" t="s">
        <v>417</v>
      </c>
      <c r="F44" s="219" t="s">
        <v>418</v>
      </c>
      <c r="G44" s="219" t="s">
        <v>419</v>
      </c>
      <c r="H44" s="219" t="s">
        <v>420</v>
      </c>
      <c r="I44" s="219" t="s">
        <v>421</v>
      </c>
      <c r="J44" s="219" t="s">
        <v>422</v>
      </c>
      <c r="K44" s="220" t="s">
        <v>423</v>
      </c>
      <c r="L44" s="166"/>
      <c r="M44" s="167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spans="1:26" ht="12.75" customHeight="1" x14ac:dyDescent="0.3">
      <c r="A45" s="167"/>
      <c r="B45" s="178" t="s">
        <v>192</v>
      </c>
      <c r="C45" s="262">
        <v>0.1</v>
      </c>
      <c r="D45" s="263">
        <f>IF(ISNA(VLOOKUP(B45,'Listado de Artículos'!$B$16:$F$1328,5,0)),0,(VLOOKUP(B45,'Listado de Artículos'!$B$16:$F$1328,5,0)))</f>
        <v>11.5</v>
      </c>
      <c r="E45" s="262">
        <v>1</v>
      </c>
      <c r="F45" s="262">
        <v>1</v>
      </c>
      <c r="G45" s="264">
        <f>IF(E45&gt;0,(F45/E45),"")</f>
        <v>1</v>
      </c>
      <c r="H45" s="264">
        <f>IF(E45&gt;0,(100%-G45),"")</f>
        <v>0</v>
      </c>
      <c r="I45" s="265">
        <f>IF(C45&gt;0,(H45*C45/G45),"")</f>
        <v>0</v>
      </c>
      <c r="J45" s="265">
        <f>IF(C45&gt;0,(C45+I45),"")</f>
        <v>0.1</v>
      </c>
      <c r="K45" s="211">
        <f>IF(D45&gt;0,(D45*J45),"")</f>
        <v>1.1500000000000001</v>
      </c>
      <c r="L45" s="166"/>
      <c r="M45" s="167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spans="1:26" ht="12.75" customHeight="1" x14ac:dyDescent="0.3">
      <c r="A46" s="167"/>
      <c r="B46" s="177" t="s">
        <v>395</v>
      </c>
      <c r="C46" s="262">
        <v>1</v>
      </c>
      <c r="D46" s="263">
        <f>IF(ISNA(VLOOKUP(B46,'Listado de Artículos'!$B$16:$F$1328,5,0)),0,(VLOOKUP(B46,'Listado de Artículos'!$B$16:$F$1328,5,0)))</f>
        <v>0.2</v>
      </c>
      <c r="E46" s="262">
        <v>1</v>
      </c>
      <c r="F46" s="262">
        <v>1</v>
      </c>
      <c r="G46" s="264">
        <f>IF(E46&gt;0,(F46/E46),"")</f>
        <v>1</v>
      </c>
      <c r="H46" s="264">
        <f>IF(E46&gt;0,(100%-G46),"")</f>
        <v>0</v>
      </c>
      <c r="I46" s="265">
        <f>IF(C46&gt;0,(H46*C46/G46),"")</f>
        <v>0</v>
      </c>
      <c r="J46" s="265">
        <f>IF(C46&gt;0,(C46+I46),"")</f>
        <v>1</v>
      </c>
      <c r="K46" s="211">
        <f>IF(D46&gt;0,(D46*J46),"")</f>
        <v>0.2</v>
      </c>
      <c r="L46" s="166"/>
      <c r="M46" s="167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spans="1:26" ht="12.75" customHeight="1" x14ac:dyDescent="0.3">
      <c r="A47" s="179"/>
      <c r="B47" s="180" t="s">
        <v>211</v>
      </c>
      <c r="C47" s="271">
        <v>1</v>
      </c>
      <c r="D47" s="272">
        <f>IF(ISNA(VLOOKUP(B47,'Listado de Artículos'!$B$16:$F$1328,5,0)),0,(VLOOKUP(B47,'Listado de Artículos'!$B$16:$F$1328,5,0)))</f>
        <v>0.26</v>
      </c>
      <c r="E47" s="271">
        <v>1</v>
      </c>
      <c r="F47" s="271">
        <v>1</v>
      </c>
      <c r="G47" s="273">
        <f>IF(E47&gt;0,(F47/E47),"")</f>
        <v>1</v>
      </c>
      <c r="H47" s="273">
        <f>IF(E47&gt;0,(100%-G47),"")</f>
        <v>0</v>
      </c>
      <c r="I47" s="274">
        <f>IF(C47&gt;0,(H47*C47/G47),"")</f>
        <v>0</v>
      </c>
      <c r="J47" s="274">
        <f>IF(C47&gt;0,(C47+I47),"")</f>
        <v>1</v>
      </c>
      <c r="K47" s="181">
        <f>IF(D47&gt;0,(D47*J47),"")</f>
        <v>0.26</v>
      </c>
      <c r="L47" s="182"/>
      <c r="M47" s="179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</row>
    <row r="48" spans="1:26" ht="12.75" customHeight="1" x14ac:dyDescent="0.3">
      <c r="A48" s="183"/>
      <c r="B48" s="184" t="s">
        <v>43</v>
      </c>
      <c r="C48" s="275">
        <v>7.4999999999999997E-2</v>
      </c>
      <c r="D48" s="276">
        <f>IF(ISNA(VLOOKUP(B48,'Listado de Artículos'!$B$16:$F$1328,5,0)),0,(VLOOKUP(B48,'Listado de Artículos'!$B$16:$F$1328,5,0)))</f>
        <v>8.9700000000000006</v>
      </c>
      <c r="E48" s="275">
        <v>1</v>
      </c>
      <c r="F48" s="275">
        <v>1</v>
      </c>
      <c r="G48" s="277">
        <f>IF(E48&gt;0,(F48/E48),"")</f>
        <v>1</v>
      </c>
      <c r="H48" s="277">
        <f>IF(E48&gt;0,(100%-G48),"")</f>
        <v>0</v>
      </c>
      <c r="I48" s="278">
        <f>IF(C48&gt;0,(H48*C48/G48),"")</f>
        <v>0</v>
      </c>
      <c r="J48" s="278">
        <f>IF(C48&gt;0,(C48+I48),"")</f>
        <v>7.4999999999999997E-2</v>
      </c>
      <c r="K48" s="185">
        <f>IF(D48&gt;0,(D48*J48),"")</f>
        <v>0.67275000000000007</v>
      </c>
      <c r="L48" s="186"/>
      <c r="M48" s="183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spans="1:26" ht="12.75" customHeight="1" x14ac:dyDescent="0.3">
      <c r="A49" s="183"/>
      <c r="B49" s="187" t="s">
        <v>270</v>
      </c>
      <c r="C49" s="275">
        <v>1</v>
      </c>
      <c r="D49" s="276">
        <f>IF(ISNA(VLOOKUP(B49,'Listado de Artículos'!$B$16:$F$1328,5,0)),0,(VLOOKUP(B49,'Listado de Artículos'!$B$16:$F$1328,5,0)))</f>
        <v>2.9</v>
      </c>
      <c r="E49" s="275">
        <v>1</v>
      </c>
      <c r="F49" s="275">
        <v>1</v>
      </c>
      <c r="G49" s="277">
        <f>IF(E49&gt;0,(F49/E49),"")</f>
        <v>1</v>
      </c>
      <c r="H49" s="277">
        <f>IF(E49&gt;0,(100%-G49),"")</f>
        <v>0</v>
      </c>
      <c r="I49" s="278">
        <f>IF(C49&gt;0,(H49*C49/G49),"")</f>
        <v>0</v>
      </c>
      <c r="J49" s="278">
        <f>IF(C49&gt;0,(C49+I49),"")</f>
        <v>1</v>
      </c>
      <c r="K49" s="185">
        <f>IF(D49&gt;0,(D49*J49),"")</f>
        <v>2.9</v>
      </c>
      <c r="L49" s="186"/>
      <c r="M49" s="183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spans="1:26" ht="12.75" customHeight="1" x14ac:dyDescent="0.3">
      <c r="A50" s="183"/>
      <c r="B50" s="187"/>
      <c r="C50" s="275"/>
      <c r="D50" s="276"/>
      <c r="E50" s="275"/>
      <c r="F50" s="275"/>
      <c r="G50" s="277"/>
      <c r="H50" s="277"/>
      <c r="I50" s="278"/>
      <c r="J50" s="278"/>
      <c r="K50" s="185"/>
      <c r="L50" s="186"/>
      <c r="M50" s="183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spans="1:26" ht="17.25" customHeight="1" x14ac:dyDescent="0.3">
      <c r="A51" s="188"/>
      <c r="B51" s="189"/>
      <c r="C51" s="306"/>
      <c r="D51" s="304"/>
      <c r="E51" s="304"/>
      <c r="F51" s="304"/>
      <c r="G51" s="304"/>
      <c r="H51" s="304"/>
      <c r="I51" s="304"/>
      <c r="J51" s="190"/>
      <c r="K51" s="190"/>
      <c r="L51" s="190"/>
      <c r="M51" s="188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spans="1:26" ht="12.75" customHeight="1" x14ac:dyDescent="0.3">
      <c r="A52" s="164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4"/>
    </row>
    <row r="53" spans="1:26" ht="12.75" customHeight="1" x14ac:dyDescent="0.3">
      <c r="A53" s="167"/>
      <c r="B53" s="166"/>
      <c r="C53" s="303" t="s">
        <v>405</v>
      </c>
      <c r="D53" s="304"/>
      <c r="E53" s="304"/>
      <c r="F53" s="304"/>
      <c r="G53" s="304"/>
      <c r="H53" s="304"/>
      <c r="I53" s="304"/>
      <c r="J53" s="304"/>
      <c r="K53" s="305"/>
      <c r="L53" s="166"/>
      <c r="M53" s="167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 spans="1:26" ht="12.75" customHeight="1" x14ac:dyDescent="0.3">
      <c r="A54" s="167"/>
      <c r="B54" s="166"/>
      <c r="C54" s="316" t="s">
        <v>406</v>
      </c>
      <c r="D54" s="304"/>
      <c r="E54" s="304"/>
      <c r="F54" s="304"/>
      <c r="G54" s="304"/>
      <c r="H54" s="304"/>
      <c r="I54" s="304"/>
      <c r="J54" s="304"/>
      <c r="K54" s="305"/>
      <c r="L54" s="166"/>
      <c r="M54" s="167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</row>
    <row r="55" spans="1:26" ht="12.75" customHeight="1" x14ac:dyDescent="0.3">
      <c r="A55" s="167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7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 spans="1:26" ht="12.75" customHeight="1" x14ac:dyDescent="0.3">
      <c r="A56" s="167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7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 spans="1:26" ht="12.75" customHeight="1" x14ac:dyDescent="0.3">
      <c r="A57" s="167"/>
      <c r="B57" s="167"/>
      <c r="C57" s="168" t="s">
        <v>407</v>
      </c>
      <c r="D57" s="309" t="s">
        <v>429</v>
      </c>
      <c r="E57" s="310"/>
      <c r="F57" s="310"/>
      <c r="G57" s="310"/>
      <c r="H57" s="310"/>
      <c r="I57" s="310"/>
      <c r="J57" s="310"/>
      <c r="K57" s="310"/>
      <c r="L57" s="166"/>
      <c r="M57" s="167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 spans="1:26" ht="12.75" customHeight="1" x14ac:dyDescent="0.3">
      <c r="A58" s="169"/>
      <c r="B58" s="169"/>
      <c r="C58" s="170" t="s">
        <v>409</v>
      </c>
      <c r="D58" s="311" t="s">
        <v>410</v>
      </c>
      <c r="E58" s="312"/>
      <c r="F58" s="312"/>
      <c r="G58" s="313"/>
      <c r="H58" s="319"/>
      <c r="I58" s="315"/>
      <c r="J58" s="307"/>
      <c r="K58" s="308"/>
      <c r="L58" s="167"/>
      <c r="M58" s="167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 spans="1:26" ht="12.75" customHeight="1" x14ac:dyDescent="0.3">
      <c r="A59" s="167"/>
      <c r="B59" s="166"/>
      <c r="C59" s="171" t="s">
        <v>411</v>
      </c>
      <c r="D59" s="260">
        <v>4</v>
      </c>
      <c r="E59" s="317" t="s">
        <v>412</v>
      </c>
      <c r="F59" s="318"/>
      <c r="G59" s="172">
        <f>SUM(K62:K67)</f>
        <v>2.1877999999999997</v>
      </c>
      <c r="H59" s="314" t="s">
        <v>430</v>
      </c>
      <c r="I59" s="315"/>
      <c r="J59" s="261">
        <f>G59/D59</f>
        <v>0.54694999999999994</v>
      </c>
      <c r="K59" s="270"/>
      <c r="L59" s="166"/>
      <c r="M59" s="167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 spans="1:26" ht="12.75" customHeight="1" x14ac:dyDescent="0.3">
      <c r="A60" s="167"/>
      <c r="B60" s="174"/>
      <c r="C60" s="174"/>
      <c r="D60" s="174"/>
      <c r="E60" s="174"/>
      <c r="F60" s="174"/>
      <c r="G60" s="174"/>
      <c r="H60" s="174"/>
      <c r="I60" s="174"/>
      <c r="J60" s="166"/>
      <c r="K60" s="166"/>
      <c r="L60" s="166"/>
      <c r="M60" s="167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 spans="1:26" ht="12.75" customHeight="1" x14ac:dyDescent="0.3">
      <c r="A61" s="167"/>
      <c r="B61" s="175" t="s">
        <v>414</v>
      </c>
      <c r="C61" s="219" t="s">
        <v>415</v>
      </c>
      <c r="D61" s="219" t="s">
        <v>416</v>
      </c>
      <c r="E61" s="219" t="s">
        <v>417</v>
      </c>
      <c r="F61" s="219" t="s">
        <v>418</v>
      </c>
      <c r="G61" s="219" t="s">
        <v>419</v>
      </c>
      <c r="H61" s="219" t="s">
        <v>420</v>
      </c>
      <c r="I61" s="219" t="s">
        <v>421</v>
      </c>
      <c r="J61" s="219" t="s">
        <v>422</v>
      </c>
      <c r="K61" s="220" t="s">
        <v>423</v>
      </c>
      <c r="L61" s="166"/>
      <c r="M61" s="167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 spans="1:26" ht="12.75" customHeight="1" x14ac:dyDescent="0.3">
      <c r="A62" s="167"/>
      <c r="B62" s="178" t="s">
        <v>119</v>
      </c>
      <c r="C62" s="262">
        <v>10</v>
      </c>
      <c r="D62" s="263">
        <f>IF(ISNA(VLOOKUP(B62,'Listado de Artículos'!$B$16:$F$1328,5,0)),0,(VLOOKUP(B62,'Listado de Artículos'!$B$16:$F$1328,5,0)))</f>
        <v>0.16</v>
      </c>
      <c r="E62" s="262">
        <v>1</v>
      </c>
      <c r="F62" s="262">
        <v>1</v>
      </c>
      <c r="G62" s="264">
        <f>IF(E62&gt;0,(F62/E62),"")</f>
        <v>1</v>
      </c>
      <c r="H62" s="264">
        <f>IF(E62&gt;0,(100%-G62),"")</f>
        <v>0</v>
      </c>
      <c r="I62" s="265">
        <f>IF(C62&gt;0,(H62*C62/G62),"")</f>
        <v>0</v>
      </c>
      <c r="J62" s="265">
        <f>IF(C62&gt;0,(C62+I62),"")</f>
        <v>10</v>
      </c>
      <c r="K62" s="211">
        <f>IF(D62&gt;0,(D62*J62),"")</f>
        <v>1.6</v>
      </c>
      <c r="L62" s="166"/>
      <c r="M62" s="167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 spans="1:26" ht="12.75" customHeight="1" x14ac:dyDescent="0.3">
      <c r="A63" s="167"/>
      <c r="B63" s="191" t="s">
        <v>324</v>
      </c>
      <c r="C63" s="262">
        <v>0.15</v>
      </c>
      <c r="D63" s="263">
        <f>IF(ISNA(VLOOKUP(B63,'Listado de Artículos'!$B$16:$F$1328,5,0)),0,(VLOOKUP(B63,'Listado de Artículos'!$B$16:$F$1328,5,0)))</f>
        <v>2.94</v>
      </c>
      <c r="E63" s="262">
        <v>1</v>
      </c>
      <c r="F63" s="262">
        <v>1</v>
      </c>
      <c r="G63" s="264">
        <f>IF(E63&gt;0,(F63/E63),"")</f>
        <v>1</v>
      </c>
      <c r="H63" s="264">
        <f>IF(E63&gt;0,(100%-G63),"")</f>
        <v>0</v>
      </c>
      <c r="I63" s="265">
        <f>IF(C63&gt;0,(H63*C63/G63),"")</f>
        <v>0</v>
      </c>
      <c r="J63" s="265">
        <f>IF(C63&gt;0,(C63+I63),"")</f>
        <v>0.15</v>
      </c>
      <c r="K63" s="211">
        <f>IF(D63&gt;0,(D63*J63),"")</f>
        <v>0.441</v>
      </c>
      <c r="L63" s="166"/>
      <c r="M63" s="167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 spans="1:26" ht="12.75" customHeight="1" x14ac:dyDescent="0.3">
      <c r="A64" s="167"/>
      <c r="B64" s="177" t="s">
        <v>317</v>
      </c>
      <c r="C64" s="262">
        <v>0.01</v>
      </c>
      <c r="D64" s="263">
        <f>IF(ISNA(VLOOKUP(B64,'Listado de Artículos'!$B$16:$F$1328,5,0)),0,(VLOOKUP(B64,'Listado de Artículos'!$B$16:$F$1328,5,0)))</f>
        <v>5.78</v>
      </c>
      <c r="E64" s="262">
        <v>1</v>
      </c>
      <c r="F64" s="262">
        <v>1</v>
      </c>
      <c r="G64" s="264">
        <f>IF(E64&gt;0,(F64/E64),"")</f>
        <v>1</v>
      </c>
      <c r="H64" s="264">
        <f>IF(E64&gt;0,(100%-G64),"")</f>
        <v>0</v>
      </c>
      <c r="I64" s="265">
        <f>IF(C64&gt;0,(H64*C64/G64),"")</f>
        <v>0</v>
      </c>
      <c r="J64" s="265">
        <f>IF(C64&gt;0,(C64+I64),"")</f>
        <v>0.01</v>
      </c>
      <c r="K64" s="211">
        <f>IF(D64&gt;0,(D64*J64),"")</f>
        <v>5.7800000000000004E-2</v>
      </c>
      <c r="L64" s="166"/>
      <c r="M64" s="167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 spans="1:26" ht="12.75" customHeight="1" x14ac:dyDescent="0.3">
      <c r="A65" s="167"/>
      <c r="B65" s="177" t="s">
        <v>206</v>
      </c>
      <c r="C65" s="262">
        <v>0.1</v>
      </c>
      <c r="D65" s="263">
        <f>IF(ISNA(VLOOKUP(B65,'Listado de Artículos'!$B$16:$F$1328,5,0)),0,(VLOOKUP(B65,'Listado de Artículos'!$B$16:$F$1328,5,0)))</f>
        <v>0.89</v>
      </c>
      <c r="E65" s="262">
        <v>1</v>
      </c>
      <c r="F65" s="262">
        <v>1</v>
      </c>
      <c r="G65" s="264">
        <f>IF(E65&gt;0,(F65/E65),"")</f>
        <v>1</v>
      </c>
      <c r="H65" s="264">
        <f>IF(E65&gt;0,(100%-G65),"")</f>
        <v>0</v>
      </c>
      <c r="I65" s="265">
        <f>IF(C65&gt;0,(H65*C65/G65),"")</f>
        <v>0</v>
      </c>
      <c r="J65" s="265">
        <f>IF(C65&gt;0,(C65+I65),"")</f>
        <v>0.1</v>
      </c>
      <c r="K65" s="211">
        <f>IF(D65&gt;0,(D65*J65),"")</f>
        <v>8.900000000000001E-2</v>
      </c>
      <c r="L65" s="166"/>
      <c r="M65" s="167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 spans="1:26" ht="12.75" hidden="1" customHeight="1" x14ac:dyDescent="0.3">
      <c r="A66" s="167"/>
      <c r="B66" s="177"/>
      <c r="C66" s="262"/>
      <c r="D66" s="263"/>
      <c r="E66" s="262"/>
      <c r="F66" s="262"/>
      <c r="G66" s="264"/>
      <c r="H66" s="264"/>
      <c r="I66" s="265"/>
      <c r="J66" s="265"/>
      <c r="K66" s="211"/>
      <c r="L66" s="166"/>
      <c r="M66" s="167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 spans="1:26" ht="12.75" hidden="1" customHeight="1" x14ac:dyDescent="0.3">
      <c r="A67" s="167"/>
      <c r="B67" s="177"/>
      <c r="C67" s="262"/>
      <c r="D67" s="263"/>
      <c r="E67" s="262"/>
      <c r="F67" s="262"/>
      <c r="G67" s="264"/>
      <c r="H67" s="264"/>
      <c r="I67" s="265"/>
      <c r="J67" s="265"/>
      <c r="K67" s="211"/>
      <c r="L67" s="166"/>
      <c r="M67" s="167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 spans="1:26" ht="12.75" customHeight="1" x14ac:dyDescent="0.3">
      <c r="A68" s="164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4"/>
    </row>
    <row r="69" spans="1:26" ht="12.75" customHeight="1" x14ac:dyDescent="0.3">
      <c r="A69" s="167"/>
      <c r="B69" s="166"/>
      <c r="C69" s="303" t="s">
        <v>405</v>
      </c>
      <c r="D69" s="304"/>
      <c r="E69" s="304"/>
      <c r="F69" s="304"/>
      <c r="G69" s="304"/>
      <c r="H69" s="304"/>
      <c r="I69" s="304"/>
      <c r="J69" s="304"/>
      <c r="K69" s="305"/>
      <c r="L69" s="166"/>
      <c r="M69" s="167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 spans="1:26" ht="12.75" customHeight="1" x14ac:dyDescent="0.3">
      <c r="A70" s="167"/>
      <c r="B70" s="166"/>
      <c r="C70" s="316" t="s">
        <v>406</v>
      </c>
      <c r="D70" s="304"/>
      <c r="E70" s="304"/>
      <c r="F70" s="304"/>
      <c r="G70" s="304"/>
      <c r="H70" s="304"/>
      <c r="I70" s="304"/>
      <c r="J70" s="304"/>
      <c r="K70" s="305"/>
      <c r="L70" s="166"/>
      <c r="M70" s="167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 spans="1:26" ht="12.75" customHeight="1" x14ac:dyDescent="0.3">
      <c r="A71" s="167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7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 spans="1:26" ht="12.75" customHeight="1" x14ac:dyDescent="0.3">
      <c r="A72" s="167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7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spans="1:26" ht="12.75" customHeight="1" x14ac:dyDescent="0.3">
      <c r="A73" s="167"/>
      <c r="B73" s="167"/>
      <c r="C73" s="168" t="s">
        <v>407</v>
      </c>
      <c r="D73" s="309" t="s">
        <v>399</v>
      </c>
      <c r="E73" s="310"/>
      <c r="F73" s="310"/>
      <c r="G73" s="310"/>
      <c r="H73" s="310"/>
      <c r="I73" s="310"/>
      <c r="J73" s="310"/>
      <c r="K73" s="310"/>
      <c r="L73" s="166"/>
      <c r="M73" s="167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spans="1:26" ht="12.75" customHeight="1" x14ac:dyDescent="0.3">
      <c r="A74" s="169"/>
      <c r="B74" s="169"/>
      <c r="C74" s="170" t="s">
        <v>409</v>
      </c>
      <c r="D74" s="311" t="s">
        <v>410</v>
      </c>
      <c r="E74" s="312"/>
      <c r="F74" s="312"/>
      <c r="G74" s="313"/>
      <c r="H74" s="319"/>
      <c r="I74" s="315"/>
      <c r="J74" s="307"/>
      <c r="K74" s="308"/>
      <c r="L74" s="167"/>
      <c r="M74" s="167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spans="1:26" ht="12.75" customHeight="1" x14ac:dyDescent="0.3">
      <c r="A75" s="167"/>
      <c r="B75" s="166"/>
      <c r="C75" s="171" t="s">
        <v>411</v>
      </c>
      <c r="D75" s="260">
        <v>1</v>
      </c>
      <c r="E75" s="317" t="s">
        <v>412</v>
      </c>
      <c r="F75" s="318"/>
      <c r="G75" s="172">
        <f>SUM(K78:K83)</f>
        <v>5.4202599999999999</v>
      </c>
      <c r="H75" s="314" t="s">
        <v>430</v>
      </c>
      <c r="I75" s="315"/>
      <c r="J75" s="261">
        <f>G75/D75</f>
        <v>5.4202599999999999</v>
      </c>
      <c r="K75" s="270"/>
      <c r="L75" s="166"/>
      <c r="M75" s="167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spans="1:26" ht="12.75" customHeight="1" x14ac:dyDescent="0.3">
      <c r="A76" s="167"/>
      <c r="B76" s="174"/>
      <c r="C76" s="174"/>
      <c r="D76" s="174"/>
      <c r="E76" s="174"/>
      <c r="F76" s="174"/>
      <c r="G76" s="174"/>
      <c r="H76" s="174"/>
      <c r="I76" s="174"/>
      <c r="J76" s="166"/>
      <c r="K76" s="166"/>
      <c r="L76" s="166"/>
      <c r="M76" s="167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spans="1:26" ht="12.75" customHeight="1" x14ac:dyDescent="0.3">
      <c r="A77" s="167"/>
      <c r="B77" s="175" t="s">
        <v>414</v>
      </c>
      <c r="C77" s="219" t="s">
        <v>415</v>
      </c>
      <c r="D77" s="219" t="s">
        <v>416</v>
      </c>
      <c r="E77" s="219" t="s">
        <v>417</v>
      </c>
      <c r="F77" s="219" t="s">
        <v>418</v>
      </c>
      <c r="G77" s="219" t="s">
        <v>419</v>
      </c>
      <c r="H77" s="219" t="s">
        <v>420</v>
      </c>
      <c r="I77" s="219" t="s">
        <v>421</v>
      </c>
      <c r="J77" s="219" t="s">
        <v>422</v>
      </c>
      <c r="K77" s="220" t="s">
        <v>423</v>
      </c>
      <c r="L77" s="166"/>
      <c r="M77" s="167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 spans="1:26" ht="12.75" customHeight="1" x14ac:dyDescent="0.3">
      <c r="A78" s="167"/>
      <c r="B78" s="178" t="s">
        <v>193</v>
      </c>
      <c r="C78" s="262">
        <v>0.15</v>
      </c>
      <c r="D78" s="263">
        <f>IF(ISNA(VLOOKUP(B78,'Listado de Artículos'!$B$16:$F$1328,5,0)),0,(VLOOKUP(B78,'Listado de Artículos'!$B$16:$F$1328,5,0)))</f>
        <v>21.9</v>
      </c>
      <c r="E78" s="262">
        <v>1</v>
      </c>
      <c r="F78" s="262">
        <v>1</v>
      </c>
      <c r="G78" s="264">
        <f t="shared" ref="G78:G83" si="5">IF(E78&gt;0,(F78/E78),"")</f>
        <v>1</v>
      </c>
      <c r="H78" s="264">
        <f t="shared" ref="H78:H83" si="6">IF(E78&gt;0,(100%-G78),"")</f>
        <v>0</v>
      </c>
      <c r="I78" s="265">
        <f t="shared" ref="I78:I83" si="7">IF(C78&gt;0,(H78*C78/G78),"")</f>
        <v>0</v>
      </c>
      <c r="J78" s="265">
        <f t="shared" ref="J78:J83" si="8">IF(C78&gt;0,(C78+I78),"")</f>
        <v>0.15</v>
      </c>
      <c r="K78" s="211">
        <f t="shared" ref="K78:K83" si="9">IF(D78&gt;0,(D78*J78),"")</f>
        <v>3.2849999999999997</v>
      </c>
      <c r="L78" s="166"/>
      <c r="M78" s="167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 spans="1:26" ht="29.25" customHeight="1" x14ac:dyDescent="0.3">
      <c r="A79" s="167"/>
      <c r="B79" s="191" t="s">
        <v>105</v>
      </c>
      <c r="C79" s="262">
        <v>0.09</v>
      </c>
      <c r="D79" s="263">
        <f>IF(ISNA(VLOOKUP(B79,'Listado de Artículos'!$B$16:$F$1328,5,0)),0,(VLOOKUP(B79,'Listado de Artículos'!$B$16:$F$1328,5,0)))</f>
        <v>6.15</v>
      </c>
      <c r="E79" s="262">
        <v>1</v>
      </c>
      <c r="F79" s="262">
        <v>1</v>
      </c>
      <c r="G79" s="264">
        <f t="shared" si="5"/>
        <v>1</v>
      </c>
      <c r="H79" s="264">
        <f t="shared" si="6"/>
        <v>0</v>
      </c>
      <c r="I79" s="265">
        <f t="shared" si="7"/>
        <v>0</v>
      </c>
      <c r="J79" s="265">
        <f t="shared" si="8"/>
        <v>0.09</v>
      </c>
      <c r="K79" s="211">
        <f t="shared" si="9"/>
        <v>0.55349999999999999</v>
      </c>
      <c r="L79" s="166"/>
      <c r="M79" s="167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 spans="1:26" ht="12.75" customHeight="1" x14ac:dyDescent="0.3">
      <c r="A80" s="167"/>
      <c r="B80" s="177" t="s">
        <v>106</v>
      </c>
      <c r="C80" s="262">
        <v>7.0000000000000007E-2</v>
      </c>
      <c r="D80" s="263">
        <f>IF(ISNA(VLOOKUP(B80,'Listado de Artículos'!$B$16:$F$1328,5,0)),0,(VLOOKUP(B80,'Listado de Artículos'!$B$16:$F$1328,5,0)))</f>
        <v>7.6</v>
      </c>
      <c r="E80" s="262">
        <v>1</v>
      </c>
      <c r="F80" s="262">
        <v>1</v>
      </c>
      <c r="G80" s="264">
        <f t="shared" si="5"/>
        <v>1</v>
      </c>
      <c r="H80" s="264">
        <f t="shared" si="6"/>
        <v>0</v>
      </c>
      <c r="I80" s="265">
        <f t="shared" si="7"/>
        <v>0</v>
      </c>
      <c r="J80" s="265">
        <f t="shared" si="8"/>
        <v>7.0000000000000007E-2</v>
      </c>
      <c r="K80" s="211">
        <f t="shared" si="9"/>
        <v>0.53200000000000003</v>
      </c>
      <c r="L80" s="166"/>
      <c r="M80" s="167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 spans="1:26" ht="12.75" customHeight="1" x14ac:dyDescent="0.3">
      <c r="A81" s="167"/>
      <c r="B81" s="177" t="s">
        <v>226</v>
      </c>
      <c r="C81" s="262">
        <v>1</v>
      </c>
      <c r="D81" s="263">
        <f>IF(ISNA(VLOOKUP(B81,'Listado de Artículos'!$B$16:$F$1328,5,0)),0,(VLOOKUP(B81,'Listado de Artículos'!$B$16:$F$1328,5,0)))</f>
        <v>0.96</v>
      </c>
      <c r="E81" s="262">
        <v>1</v>
      </c>
      <c r="F81" s="262">
        <v>1</v>
      </c>
      <c r="G81" s="264">
        <f t="shared" si="5"/>
        <v>1</v>
      </c>
      <c r="H81" s="264">
        <f t="shared" si="6"/>
        <v>0</v>
      </c>
      <c r="I81" s="265">
        <f t="shared" si="7"/>
        <v>0</v>
      </c>
      <c r="J81" s="265">
        <f t="shared" si="8"/>
        <v>1</v>
      </c>
      <c r="K81" s="211">
        <f t="shared" si="9"/>
        <v>0.96</v>
      </c>
      <c r="L81" s="166"/>
      <c r="M81" s="167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 spans="1:26" ht="12.75" customHeight="1" x14ac:dyDescent="0.3">
      <c r="A82" s="167"/>
      <c r="B82" s="177" t="s">
        <v>292</v>
      </c>
      <c r="C82" s="262">
        <v>2E-3</v>
      </c>
      <c r="D82" s="263">
        <f>IF(ISNA(VLOOKUP(B82,'Listado de Artículos'!$B$16:$F$1328,5,0)),0,(VLOOKUP(B82,'Listado de Artículos'!$B$16:$F$1328,5,0)))</f>
        <v>0.03</v>
      </c>
      <c r="E82" s="262">
        <v>1</v>
      </c>
      <c r="F82" s="262">
        <v>1</v>
      </c>
      <c r="G82" s="264">
        <f t="shared" si="5"/>
        <v>1</v>
      </c>
      <c r="H82" s="264">
        <f t="shared" si="6"/>
        <v>0</v>
      </c>
      <c r="I82" s="265">
        <f t="shared" si="7"/>
        <v>0</v>
      </c>
      <c r="J82" s="265">
        <f t="shared" si="8"/>
        <v>2E-3</v>
      </c>
      <c r="K82" s="211">
        <f t="shared" si="9"/>
        <v>6.0000000000000002E-5</v>
      </c>
      <c r="L82" s="166"/>
      <c r="M82" s="167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 spans="1:26" ht="12.75" customHeight="1" x14ac:dyDescent="0.3">
      <c r="A83" s="167"/>
      <c r="B83" s="177" t="s">
        <v>43</v>
      </c>
      <c r="C83" s="262">
        <v>0.01</v>
      </c>
      <c r="D83" s="263">
        <f>IF(ISNA(VLOOKUP(B83,'Listado de Artículos'!$B$16:$F$1328,5,0)),0,(VLOOKUP(B83,'Listado de Artículos'!$B$16:$F$1328,5,0)))</f>
        <v>8.9700000000000006</v>
      </c>
      <c r="E83" s="262">
        <v>1</v>
      </c>
      <c r="F83" s="262">
        <v>1</v>
      </c>
      <c r="G83" s="264">
        <f t="shared" si="5"/>
        <v>1</v>
      </c>
      <c r="H83" s="264">
        <f t="shared" si="6"/>
        <v>0</v>
      </c>
      <c r="I83" s="265">
        <f t="shared" si="7"/>
        <v>0</v>
      </c>
      <c r="J83" s="265">
        <f t="shared" si="8"/>
        <v>0.01</v>
      </c>
      <c r="K83" s="211">
        <f t="shared" si="9"/>
        <v>8.9700000000000002E-2</v>
      </c>
      <c r="L83" s="166"/>
      <c r="M83" s="167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 spans="1:26" ht="12.75" customHeight="1" x14ac:dyDescent="0.3">
      <c r="A84" s="164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4"/>
    </row>
    <row r="85" spans="1:26" ht="12.75" customHeight="1" x14ac:dyDescent="0.3">
      <c r="A85" s="167"/>
      <c r="B85" s="166"/>
      <c r="C85" s="303" t="s">
        <v>405</v>
      </c>
      <c r="D85" s="304"/>
      <c r="E85" s="304"/>
      <c r="F85" s="304"/>
      <c r="G85" s="304"/>
      <c r="H85" s="304"/>
      <c r="I85" s="304"/>
      <c r="J85" s="304"/>
      <c r="K85" s="305"/>
      <c r="L85" s="166"/>
      <c r="M85" s="167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 spans="1:26" ht="12.75" customHeight="1" x14ac:dyDescent="0.3">
      <c r="A86" s="167"/>
      <c r="B86" s="166"/>
      <c r="C86" s="316" t="s">
        <v>406</v>
      </c>
      <c r="D86" s="304"/>
      <c r="E86" s="304"/>
      <c r="F86" s="304"/>
      <c r="G86" s="304"/>
      <c r="H86" s="304"/>
      <c r="I86" s="304"/>
      <c r="J86" s="304"/>
      <c r="K86" s="305"/>
      <c r="L86" s="166"/>
      <c r="M86" s="167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 spans="1:26" ht="12.75" customHeight="1" x14ac:dyDescent="0.3">
      <c r="A87" s="167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7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 spans="1:26" ht="12.75" customHeight="1" x14ac:dyDescent="0.3">
      <c r="A88" s="167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7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 spans="1:26" ht="12.75" customHeight="1" x14ac:dyDescent="0.3">
      <c r="A89" s="167"/>
      <c r="B89" s="167"/>
      <c r="C89" s="168" t="s">
        <v>407</v>
      </c>
      <c r="D89" s="309" t="s">
        <v>431</v>
      </c>
      <c r="E89" s="310"/>
      <c r="F89" s="310"/>
      <c r="G89" s="310"/>
      <c r="H89" s="310"/>
      <c r="I89" s="310"/>
      <c r="J89" s="310"/>
      <c r="K89" s="310"/>
      <c r="L89" s="166"/>
      <c r="M89" s="167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 spans="1:26" ht="12.75" customHeight="1" x14ac:dyDescent="0.3">
      <c r="A90" s="169"/>
      <c r="B90" s="169"/>
      <c r="C90" s="170" t="s">
        <v>409</v>
      </c>
      <c r="D90" s="311" t="s">
        <v>410</v>
      </c>
      <c r="E90" s="312"/>
      <c r="F90" s="312"/>
      <c r="G90" s="313"/>
      <c r="H90" s="319"/>
      <c r="I90" s="315"/>
      <c r="J90" s="307"/>
      <c r="K90" s="308"/>
      <c r="L90" s="167"/>
      <c r="M90" s="167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 spans="1:26" ht="12.75" customHeight="1" x14ac:dyDescent="0.3">
      <c r="A91" s="167"/>
      <c r="B91" s="166"/>
      <c r="C91" s="171" t="s">
        <v>411</v>
      </c>
      <c r="D91" s="260">
        <v>1</v>
      </c>
      <c r="E91" s="317" t="s">
        <v>412</v>
      </c>
      <c r="F91" s="318"/>
      <c r="G91" s="172">
        <f>SUM(K94:K98)</f>
        <v>2.8770600000000002</v>
      </c>
      <c r="H91" s="314" t="s">
        <v>432</v>
      </c>
      <c r="I91" s="315"/>
      <c r="J91" s="261">
        <f>G91/D91</f>
        <v>2.8770600000000002</v>
      </c>
      <c r="K91" s="270"/>
      <c r="L91" s="166"/>
      <c r="M91" s="167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 spans="1:26" ht="12.75" customHeight="1" x14ac:dyDescent="0.3">
      <c r="A92" s="167"/>
      <c r="B92" s="174"/>
      <c r="C92" s="174"/>
      <c r="D92" s="174"/>
      <c r="E92" s="174"/>
      <c r="F92" s="174"/>
      <c r="G92" s="174"/>
      <c r="H92" s="174"/>
      <c r="I92" s="174"/>
      <c r="J92" s="166"/>
      <c r="K92" s="166"/>
      <c r="L92" s="166"/>
      <c r="M92" s="167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 spans="1:26" ht="12.75" customHeight="1" x14ac:dyDescent="0.3">
      <c r="A93" s="167"/>
      <c r="B93" s="175" t="s">
        <v>414</v>
      </c>
      <c r="C93" s="219" t="s">
        <v>415</v>
      </c>
      <c r="D93" s="219" t="s">
        <v>416</v>
      </c>
      <c r="E93" s="219" t="s">
        <v>417</v>
      </c>
      <c r="F93" s="219" t="s">
        <v>418</v>
      </c>
      <c r="G93" s="219" t="s">
        <v>419</v>
      </c>
      <c r="H93" s="219" t="s">
        <v>420</v>
      </c>
      <c r="I93" s="219" t="s">
        <v>421</v>
      </c>
      <c r="J93" s="219" t="s">
        <v>422</v>
      </c>
      <c r="K93" s="220" t="s">
        <v>423</v>
      </c>
      <c r="L93" s="166"/>
      <c r="M93" s="167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 spans="1:26" ht="12.75" customHeight="1" x14ac:dyDescent="0.3">
      <c r="A94" s="167"/>
      <c r="B94" s="192" t="s">
        <v>280</v>
      </c>
      <c r="C94" s="262">
        <v>0.24</v>
      </c>
      <c r="D94" s="263">
        <f>IF(ISNA(VLOOKUP(B94,'Listado de Artículos'!$B$16:$F$1328,5,0)),0,(VLOOKUP(B94,'Listado de Artículos'!$B$16:$F$1328,5,0)))</f>
        <v>2</v>
      </c>
      <c r="E94" s="262">
        <v>1</v>
      </c>
      <c r="F94" s="262">
        <v>1</v>
      </c>
      <c r="G94" s="264">
        <f>IF(E94&gt;0,(F94/E94),"")</f>
        <v>1</v>
      </c>
      <c r="H94" s="264">
        <f>IF(E94&gt;0,(100%-G94),"")</f>
        <v>0</v>
      </c>
      <c r="I94" s="265">
        <f>IF(C94&gt;0,(H94*C94/G94),"")</f>
        <v>0</v>
      </c>
      <c r="J94" s="265">
        <f>IF(C94&gt;0,(C94+I94),"")</f>
        <v>0.24</v>
      </c>
      <c r="K94" s="211">
        <f>IF(D94&gt;0,(D94*J94),"")</f>
        <v>0.48</v>
      </c>
      <c r="L94" s="166"/>
      <c r="M94" s="167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 spans="1:26" ht="12.75" customHeight="1" x14ac:dyDescent="0.3">
      <c r="A95" s="167"/>
      <c r="B95" s="177" t="s">
        <v>63</v>
      </c>
      <c r="C95" s="262">
        <v>0.18</v>
      </c>
      <c r="D95" s="263">
        <f>IF(ISNA(VLOOKUP(B95,'Listado de Artículos'!$B$16:$F$1328,5,0)),0,(VLOOKUP(B95,'Listado de Artículos'!$B$16:$F$1328,5,0)))</f>
        <v>12.5</v>
      </c>
      <c r="E95" s="262">
        <v>1</v>
      </c>
      <c r="F95" s="262">
        <v>1</v>
      </c>
      <c r="G95" s="264">
        <f>IF(E95&gt;0,(F95/E95),"")</f>
        <v>1</v>
      </c>
      <c r="H95" s="264">
        <f>IF(E95&gt;0,(100%-G95),"")</f>
        <v>0</v>
      </c>
      <c r="I95" s="265">
        <f>IF(C95&gt;0,(H95*C95/G95),"")</f>
        <v>0</v>
      </c>
      <c r="J95" s="265">
        <f>IF(C95&gt;0,(C95+I95),"")</f>
        <v>0.18</v>
      </c>
      <c r="K95" s="211">
        <f>IF(D95&gt;0,(D95*J95),"")</f>
        <v>2.25</v>
      </c>
      <c r="L95" s="166"/>
      <c r="M95" s="167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</row>
    <row r="96" spans="1:26" ht="12.75" customHeight="1" x14ac:dyDescent="0.3">
      <c r="A96" s="167"/>
      <c r="B96" s="177" t="s">
        <v>41</v>
      </c>
      <c r="C96" s="262">
        <v>0.02</v>
      </c>
      <c r="D96" s="263">
        <f>IF(ISNA(VLOOKUP(B96,'Listado de Artículos'!$B$16:$F$1328,5,0)),0,(VLOOKUP(B96,'Listado de Artículos'!$B$16:$F$1328,5,0)))</f>
        <v>5.95</v>
      </c>
      <c r="E96" s="262">
        <v>1</v>
      </c>
      <c r="F96" s="262">
        <v>1</v>
      </c>
      <c r="G96" s="264">
        <f>IF(E96&gt;0,(F96/E96),"")</f>
        <v>1</v>
      </c>
      <c r="H96" s="264">
        <f>IF(E96&gt;0,(100%-G96),"")</f>
        <v>0</v>
      </c>
      <c r="I96" s="265">
        <f>IF(C96&gt;0,(H96*C96/G96),"")</f>
        <v>0</v>
      </c>
      <c r="J96" s="265">
        <f>IF(C96&gt;0,(C96+I96),"")</f>
        <v>0.02</v>
      </c>
      <c r="K96" s="211">
        <f>IF(D96&gt;0,(D96*J96),"")</f>
        <v>0.11900000000000001</v>
      </c>
      <c r="L96" s="166"/>
      <c r="M96" s="167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 spans="1:26" ht="12.75" customHeight="1" x14ac:dyDescent="0.3">
      <c r="A97" s="167"/>
      <c r="B97" s="177" t="s">
        <v>316</v>
      </c>
      <c r="C97" s="262">
        <v>8.0000000000000002E-3</v>
      </c>
      <c r="D97" s="263">
        <f>IF(ISNA(VLOOKUP(B97,'Listado de Artículos'!$B$16:$F$1328,5,0)),0,(VLOOKUP(B97,'Listado de Artículos'!$B$16:$F$1328,5,0)))</f>
        <v>3.5</v>
      </c>
      <c r="E97" s="262">
        <v>1</v>
      </c>
      <c r="F97" s="262">
        <v>1</v>
      </c>
      <c r="G97" s="264">
        <f>IF(E97&gt;0,(F97/E97),"")</f>
        <v>1</v>
      </c>
      <c r="H97" s="264">
        <f>IF(E97&gt;0,(100%-G97),"")</f>
        <v>0</v>
      </c>
      <c r="I97" s="265">
        <f>IF(C97&gt;0,(H97*C97/G97),"")</f>
        <v>0</v>
      </c>
      <c r="J97" s="265">
        <f>IF(C97&gt;0,(C97+I97),"")</f>
        <v>8.0000000000000002E-3</v>
      </c>
      <c r="K97" s="211">
        <f>IF(D97&gt;0,(D97*J97),"")</f>
        <v>2.8000000000000001E-2</v>
      </c>
      <c r="L97" s="166"/>
      <c r="M97" s="167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 spans="1:26" ht="12.75" customHeight="1" x14ac:dyDescent="0.3">
      <c r="A98" s="167"/>
      <c r="B98" s="177" t="s">
        <v>292</v>
      </c>
      <c r="C98" s="262">
        <v>2E-3</v>
      </c>
      <c r="D98" s="263">
        <f>IF(ISNA(VLOOKUP(B98,'Listado de Artículos'!$B$16:$F$1328,5,0)),0,(VLOOKUP(B98,'Listado de Artículos'!$B$16:$F$1328,5,0)))</f>
        <v>0.03</v>
      </c>
      <c r="E98" s="262">
        <v>1</v>
      </c>
      <c r="F98" s="262">
        <v>1</v>
      </c>
      <c r="G98" s="264">
        <f>IF(E98&gt;0,(F98/E98),"")</f>
        <v>1</v>
      </c>
      <c r="H98" s="264">
        <f>IF(E98&gt;0,(100%-G98),"")</f>
        <v>0</v>
      </c>
      <c r="I98" s="265">
        <f>IF(C98&gt;0,(H98*C98/G98),"")</f>
        <v>0</v>
      </c>
      <c r="J98" s="265">
        <f>IF(C98&gt;0,(C98+I98),"")</f>
        <v>2E-3</v>
      </c>
      <c r="K98" s="211">
        <f>IF(D98&gt;0,(D98*J98),"")</f>
        <v>6.0000000000000002E-5</v>
      </c>
      <c r="L98" s="166"/>
      <c r="M98" s="167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 spans="1:26" ht="12.75" customHeight="1" x14ac:dyDescent="0.3">
      <c r="A99" s="164"/>
      <c r="B99" s="165"/>
      <c r="C99" s="165"/>
      <c r="D99" s="165"/>
      <c r="E99" s="165"/>
      <c r="F99" s="165"/>
      <c r="G99" s="165"/>
      <c r="H99" s="165"/>
      <c r="I99" s="165"/>
      <c r="J99" s="165"/>
      <c r="K99" s="165"/>
      <c r="L99" s="164"/>
    </row>
    <row r="100" spans="1:26" ht="12.75" customHeight="1" x14ac:dyDescent="0.3">
      <c r="A100" s="167"/>
      <c r="B100" s="166"/>
      <c r="C100" s="303" t="s">
        <v>405</v>
      </c>
      <c r="D100" s="304"/>
      <c r="E100" s="304"/>
      <c r="F100" s="304"/>
      <c r="G100" s="304"/>
      <c r="H100" s="304"/>
      <c r="I100" s="304"/>
      <c r="J100" s="304"/>
      <c r="K100" s="305"/>
      <c r="L100" s="166"/>
      <c r="M100" s="167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</row>
    <row r="101" spans="1:26" ht="12.75" customHeight="1" x14ac:dyDescent="0.3">
      <c r="A101" s="167"/>
      <c r="B101" s="166"/>
      <c r="C101" s="316" t="s">
        <v>406</v>
      </c>
      <c r="D101" s="304"/>
      <c r="E101" s="304"/>
      <c r="F101" s="304"/>
      <c r="G101" s="304"/>
      <c r="H101" s="304"/>
      <c r="I101" s="304"/>
      <c r="J101" s="304"/>
      <c r="K101" s="305"/>
      <c r="L101" s="166"/>
      <c r="M101" s="167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 spans="1:26" ht="12.75" customHeight="1" x14ac:dyDescent="0.3">
      <c r="A102" s="167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7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 spans="1:26" ht="12.75" customHeight="1" x14ac:dyDescent="0.3">
      <c r="A103" s="167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7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 spans="1:26" ht="12.75" customHeight="1" x14ac:dyDescent="0.3">
      <c r="A104" s="167"/>
      <c r="B104" s="167"/>
      <c r="C104" s="168" t="s">
        <v>407</v>
      </c>
      <c r="D104" s="309" t="s">
        <v>433</v>
      </c>
      <c r="E104" s="310"/>
      <c r="F104" s="310"/>
      <c r="G104" s="310"/>
      <c r="H104" s="310"/>
      <c r="I104" s="310"/>
      <c r="J104" s="310"/>
      <c r="K104" s="310"/>
      <c r="L104" s="166"/>
      <c r="M104" s="167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 spans="1:26" ht="12.75" customHeight="1" x14ac:dyDescent="0.3">
      <c r="A105" s="169"/>
      <c r="B105" s="169"/>
      <c r="C105" s="170" t="s">
        <v>409</v>
      </c>
      <c r="D105" s="311" t="s">
        <v>410</v>
      </c>
      <c r="E105" s="312"/>
      <c r="F105" s="312"/>
      <c r="G105" s="313"/>
      <c r="H105" s="319"/>
      <c r="I105" s="315"/>
      <c r="J105" s="307"/>
      <c r="K105" s="308"/>
      <c r="L105" s="167"/>
      <c r="M105" s="167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 spans="1:26" ht="12.75" customHeight="1" x14ac:dyDescent="0.3">
      <c r="A106" s="167"/>
      <c r="B106" s="166"/>
      <c r="C106" s="171" t="s">
        <v>411</v>
      </c>
      <c r="D106" s="260">
        <v>1</v>
      </c>
      <c r="E106" s="317" t="s">
        <v>412</v>
      </c>
      <c r="F106" s="318"/>
      <c r="G106" s="172">
        <f>SUM(K109:K115)</f>
        <v>2.8824000000000005</v>
      </c>
      <c r="H106" s="314" t="s">
        <v>432</v>
      </c>
      <c r="I106" s="315"/>
      <c r="J106" s="261">
        <f>G106/D106</f>
        <v>2.8824000000000005</v>
      </c>
      <c r="K106" s="270"/>
      <c r="L106" s="166"/>
      <c r="M106" s="167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 spans="1:26" ht="12.75" customHeight="1" x14ac:dyDescent="0.3">
      <c r="A107" s="167"/>
      <c r="B107" s="174"/>
      <c r="C107" s="174"/>
      <c r="D107" s="174"/>
      <c r="E107" s="174"/>
      <c r="F107" s="174"/>
      <c r="G107" s="174"/>
      <c r="H107" s="174"/>
      <c r="I107" s="174"/>
      <c r="J107" s="166"/>
      <c r="K107" s="166"/>
      <c r="L107" s="166"/>
      <c r="M107" s="167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 spans="1:26" ht="12.75" customHeight="1" x14ac:dyDescent="0.3">
      <c r="A108" s="167"/>
      <c r="B108" s="175" t="s">
        <v>414</v>
      </c>
      <c r="C108" s="219" t="s">
        <v>415</v>
      </c>
      <c r="D108" s="219" t="s">
        <v>416</v>
      </c>
      <c r="E108" s="219" t="s">
        <v>417</v>
      </c>
      <c r="F108" s="219" t="s">
        <v>418</v>
      </c>
      <c r="G108" s="219" t="s">
        <v>419</v>
      </c>
      <c r="H108" s="219" t="s">
        <v>420</v>
      </c>
      <c r="I108" s="219" t="s">
        <v>421</v>
      </c>
      <c r="J108" s="219" t="s">
        <v>422</v>
      </c>
      <c r="K108" s="220" t="s">
        <v>423</v>
      </c>
      <c r="L108" s="166"/>
      <c r="M108" s="167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 spans="1:26" ht="12.75" customHeight="1" x14ac:dyDescent="0.3">
      <c r="A109" s="167"/>
      <c r="B109" s="192" t="s">
        <v>106</v>
      </c>
      <c r="C109" s="262">
        <v>7.0000000000000007E-2</v>
      </c>
      <c r="D109" s="263">
        <f>IF(ISNA(VLOOKUP(B109,'Listado de Artículos'!$B$16:$F$1328,5,0)),0,(VLOOKUP(B109,'Listado de Artículos'!$B$16:$F$1328,5,0)))</f>
        <v>7.6</v>
      </c>
      <c r="E109" s="262">
        <v>1</v>
      </c>
      <c r="F109" s="262">
        <v>1</v>
      </c>
      <c r="G109" s="264">
        <f t="shared" ref="G109:G115" si="10">IF(E109&gt;0,(F109/E109),"")</f>
        <v>1</v>
      </c>
      <c r="H109" s="264">
        <f t="shared" ref="H109:H115" si="11">IF(E109&gt;0,(100%-G109),"")</f>
        <v>0</v>
      </c>
      <c r="I109" s="265">
        <f t="shared" ref="I109:I115" si="12">IF(C109&gt;0,(H109*C109/G109),"")</f>
        <v>0</v>
      </c>
      <c r="J109" s="265">
        <f t="shared" ref="J109:J115" si="13">IF(C109&gt;0,(C109+I109),"")</f>
        <v>7.0000000000000007E-2</v>
      </c>
      <c r="K109" s="211">
        <f t="shared" ref="K109:K115" si="14">IF(D109&gt;0,(D109*J109),"")</f>
        <v>0.53200000000000003</v>
      </c>
      <c r="L109" s="166"/>
      <c r="M109" s="167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 spans="1:26" ht="12.75" customHeight="1" x14ac:dyDescent="0.3">
      <c r="A110" s="167"/>
      <c r="B110" s="177" t="s">
        <v>148</v>
      </c>
      <c r="C110" s="262">
        <v>7.4999999999999997E-2</v>
      </c>
      <c r="D110" s="263">
        <f>IF(ISNA(VLOOKUP(B110,'Listado de Artículos'!$B$16:$F$1328,5,0)),0,(VLOOKUP(B110,'Listado de Artículos'!$B$16:$F$1328,5,0)))</f>
        <v>12.5</v>
      </c>
      <c r="E110" s="262">
        <v>1</v>
      </c>
      <c r="F110" s="262">
        <v>1</v>
      </c>
      <c r="G110" s="264">
        <f t="shared" si="10"/>
        <v>1</v>
      </c>
      <c r="H110" s="264">
        <f t="shared" si="11"/>
        <v>0</v>
      </c>
      <c r="I110" s="265">
        <f t="shared" si="12"/>
        <v>0</v>
      </c>
      <c r="J110" s="265">
        <f t="shared" si="13"/>
        <v>7.4999999999999997E-2</v>
      </c>
      <c r="K110" s="211">
        <f t="shared" si="14"/>
        <v>0.9375</v>
      </c>
      <c r="L110" s="193" t="s">
        <v>434</v>
      </c>
      <c r="M110" s="167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</row>
    <row r="111" spans="1:26" ht="12.75" customHeight="1" x14ac:dyDescent="0.3">
      <c r="A111" s="167"/>
      <c r="B111" s="177" t="s">
        <v>160</v>
      </c>
      <c r="C111" s="262">
        <v>7.4999999999999997E-2</v>
      </c>
      <c r="D111" s="263">
        <f>IF(ISNA(VLOOKUP(B111,'Listado de Artículos'!$B$16:$F$1328,5,0)),0,(VLOOKUP(B111,'Listado de Artículos'!$B$16:$F$1328,5,0)))</f>
        <v>16.398</v>
      </c>
      <c r="E111" s="262">
        <v>1</v>
      </c>
      <c r="F111" s="262">
        <v>1</v>
      </c>
      <c r="G111" s="264">
        <f t="shared" si="10"/>
        <v>1</v>
      </c>
      <c r="H111" s="264">
        <f t="shared" si="11"/>
        <v>0</v>
      </c>
      <c r="I111" s="265">
        <f t="shared" si="12"/>
        <v>0</v>
      </c>
      <c r="J111" s="265">
        <f t="shared" si="13"/>
        <v>7.4999999999999997E-2</v>
      </c>
      <c r="K111" s="211">
        <f t="shared" si="14"/>
        <v>1.2298499999999999</v>
      </c>
      <c r="L111" s="193" t="s">
        <v>435</v>
      </c>
      <c r="M111" s="167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 spans="1:26" ht="12.75" customHeight="1" x14ac:dyDescent="0.3">
      <c r="A112" s="167"/>
      <c r="B112" s="177" t="s">
        <v>316</v>
      </c>
      <c r="C112" s="262">
        <v>0.01</v>
      </c>
      <c r="D112" s="263">
        <f>IF(ISNA(VLOOKUP(B112,'Listado de Artículos'!$B$16:$F$1328,5,0)),0,(VLOOKUP(B112,'Listado de Artículos'!$B$16:$F$1328,5,0)))</f>
        <v>3.5</v>
      </c>
      <c r="E112" s="262">
        <v>1</v>
      </c>
      <c r="F112" s="262">
        <v>1</v>
      </c>
      <c r="G112" s="264">
        <f t="shared" si="10"/>
        <v>1</v>
      </c>
      <c r="H112" s="264">
        <f t="shared" si="11"/>
        <v>0</v>
      </c>
      <c r="I112" s="265">
        <f t="shared" si="12"/>
        <v>0</v>
      </c>
      <c r="J112" s="265">
        <f t="shared" si="13"/>
        <v>0.01</v>
      </c>
      <c r="K112" s="211">
        <f t="shared" si="14"/>
        <v>3.5000000000000003E-2</v>
      </c>
      <c r="L112" s="166"/>
      <c r="M112" s="167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 spans="1:26" ht="12.75" customHeight="1" x14ac:dyDescent="0.3">
      <c r="A113" s="167"/>
      <c r="B113" s="177" t="s">
        <v>292</v>
      </c>
      <c r="C113" s="262">
        <v>5.0000000000000001E-3</v>
      </c>
      <c r="D113" s="263">
        <f>IF(ISNA(VLOOKUP(B113,'Listado de Artículos'!$B$16:$F$1328,5,0)),0,(VLOOKUP(B113,'Listado de Artículos'!$B$16:$F$1328,5,0)))</f>
        <v>0.03</v>
      </c>
      <c r="E113" s="262">
        <v>1</v>
      </c>
      <c r="F113" s="262">
        <v>1</v>
      </c>
      <c r="G113" s="264">
        <f t="shared" si="10"/>
        <v>1</v>
      </c>
      <c r="H113" s="264">
        <f t="shared" si="11"/>
        <v>0</v>
      </c>
      <c r="I113" s="265">
        <f t="shared" si="12"/>
        <v>0</v>
      </c>
      <c r="J113" s="265">
        <f t="shared" si="13"/>
        <v>5.0000000000000001E-3</v>
      </c>
      <c r="K113" s="211">
        <f t="shared" si="14"/>
        <v>1.4999999999999999E-4</v>
      </c>
      <c r="L113" s="166"/>
      <c r="M113" s="167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 spans="1:26" ht="12.75" customHeight="1" x14ac:dyDescent="0.3">
      <c r="A114" s="167"/>
      <c r="B114" s="177" t="s">
        <v>41</v>
      </c>
      <c r="C114" s="262">
        <v>0.02</v>
      </c>
      <c r="D114" s="263">
        <f>IF(ISNA(VLOOKUP(B114,'Listado de Artículos'!$B$16:$F$1328,5,0)),0,(VLOOKUP(B114,'Listado de Artículos'!$B$16:$F$1328,5,0)))</f>
        <v>5.95</v>
      </c>
      <c r="E114" s="262">
        <v>1</v>
      </c>
      <c r="F114" s="262">
        <v>1</v>
      </c>
      <c r="G114" s="264">
        <f t="shared" si="10"/>
        <v>1</v>
      </c>
      <c r="H114" s="264">
        <f t="shared" si="11"/>
        <v>0</v>
      </c>
      <c r="I114" s="265">
        <f t="shared" si="12"/>
        <v>0</v>
      </c>
      <c r="J114" s="265">
        <f t="shared" si="13"/>
        <v>0.02</v>
      </c>
      <c r="K114" s="211">
        <f t="shared" si="14"/>
        <v>0.11900000000000001</v>
      </c>
      <c r="L114" s="166"/>
      <c r="M114" s="167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 spans="1:26" ht="12.75" customHeight="1" x14ac:dyDescent="0.3">
      <c r="A115" s="167"/>
      <c r="B115" s="177" t="s">
        <v>317</v>
      </c>
      <c r="C115" s="262">
        <v>5.0000000000000001E-3</v>
      </c>
      <c r="D115" s="263">
        <f>IF(ISNA(VLOOKUP(B115,'Listado de Artículos'!$B$16:$F$1328,5,0)),0,(VLOOKUP(B115,'Listado de Artículos'!$B$16:$F$1328,5,0)))</f>
        <v>5.78</v>
      </c>
      <c r="E115" s="262">
        <v>1</v>
      </c>
      <c r="F115" s="262">
        <v>1</v>
      </c>
      <c r="G115" s="264">
        <f t="shared" si="10"/>
        <v>1</v>
      </c>
      <c r="H115" s="264">
        <f t="shared" si="11"/>
        <v>0</v>
      </c>
      <c r="I115" s="265">
        <f t="shared" si="12"/>
        <v>0</v>
      </c>
      <c r="J115" s="265">
        <f t="shared" si="13"/>
        <v>5.0000000000000001E-3</v>
      </c>
      <c r="K115" s="211">
        <f t="shared" si="14"/>
        <v>2.8900000000000002E-2</v>
      </c>
      <c r="L115" s="166"/>
      <c r="M115" s="167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</row>
    <row r="116" spans="1:26" ht="12.75" customHeight="1" x14ac:dyDescent="0.3">
      <c r="A116" s="164"/>
      <c r="B116" s="165"/>
      <c r="C116" s="165"/>
      <c r="D116" s="165"/>
      <c r="E116" s="165"/>
      <c r="F116" s="165"/>
      <c r="G116" s="165"/>
      <c r="H116" s="165"/>
      <c r="I116" s="165"/>
      <c r="J116" s="165"/>
      <c r="K116" s="165"/>
      <c r="L116" s="164"/>
    </row>
    <row r="117" spans="1:26" ht="12.75" customHeight="1" x14ac:dyDescent="0.3">
      <c r="A117" s="164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4"/>
    </row>
    <row r="118" spans="1:26" ht="12.75" customHeight="1" x14ac:dyDescent="0.3">
      <c r="A118" s="167"/>
      <c r="B118" s="166"/>
      <c r="C118" s="303" t="s">
        <v>405</v>
      </c>
      <c r="D118" s="304"/>
      <c r="E118" s="304"/>
      <c r="F118" s="304"/>
      <c r="G118" s="304"/>
      <c r="H118" s="304"/>
      <c r="I118" s="304"/>
      <c r="J118" s="304"/>
      <c r="K118" s="305"/>
      <c r="L118" s="166"/>
      <c r="M118" s="167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 spans="1:26" ht="12.75" customHeight="1" x14ac:dyDescent="0.3">
      <c r="A119" s="167"/>
      <c r="B119" s="166"/>
      <c r="C119" s="316" t="s">
        <v>406</v>
      </c>
      <c r="D119" s="304"/>
      <c r="E119" s="304"/>
      <c r="F119" s="304"/>
      <c r="G119" s="304"/>
      <c r="H119" s="304"/>
      <c r="I119" s="304"/>
      <c r="J119" s="304"/>
      <c r="K119" s="305"/>
      <c r="L119" s="166"/>
      <c r="M119" s="167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 spans="1:26" ht="12.75" customHeight="1" x14ac:dyDescent="0.3">
      <c r="A120" s="167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7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 spans="1:26" ht="12.75" customHeight="1" x14ac:dyDescent="0.3">
      <c r="A121" s="167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7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 spans="1:26" ht="12.75" customHeight="1" x14ac:dyDescent="0.3">
      <c r="A122" s="167"/>
      <c r="B122" s="167"/>
      <c r="C122" s="168" t="s">
        <v>407</v>
      </c>
      <c r="D122" s="309" t="s">
        <v>436</v>
      </c>
      <c r="E122" s="310"/>
      <c r="F122" s="310"/>
      <c r="G122" s="310"/>
      <c r="H122" s="310"/>
      <c r="I122" s="310"/>
      <c r="J122" s="310"/>
      <c r="K122" s="310"/>
      <c r="L122" s="166"/>
      <c r="M122" s="167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 spans="1:26" ht="12.75" customHeight="1" x14ac:dyDescent="0.3">
      <c r="A123" s="169"/>
      <c r="B123" s="169"/>
      <c r="C123" s="170" t="s">
        <v>409</v>
      </c>
      <c r="D123" s="311" t="s">
        <v>410</v>
      </c>
      <c r="E123" s="312"/>
      <c r="F123" s="312"/>
      <c r="G123" s="313"/>
      <c r="H123" s="319"/>
      <c r="I123" s="315"/>
      <c r="J123" s="307"/>
      <c r="K123" s="308"/>
      <c r="L123" s="167"/>
      <c r="M123" s="167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 spans="1:26" ht="12.75" customHeight="1" x14ac:dyDescent="0.3">
      <c r="A124" s="167"/>
      <c r="B124" s="166"/>
      <c r="C124" s="171" t="s">
        <v>415</v>
      </c>
      <c r="D124" s="194">
        <v>15</v>
      </c>
      <c r="E124" s="317" t="s">
        <v>412</v>
      </c>
      <c r="F124" s="318"/>
      <c r="G124" s="172">
        <f>SUM(K127:K138)</f>
        <v>346.63800000000003</v>
      </c>
      <c r="H124" s="314" t="s">
        <v>437</v>
      </c>
      <c r="I124" s="315"/>
      <c r="J124" s="261">
        <f>G124/D124</f>
        <v>23.109200000000001</v>
      </c>
      <c r="K124" s="270"/>
      <c r="L124" s="166"/>
      <c r="M124" s="167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 spans="1:26" ht="12.75" customHeight="1" x14ac:dyDescent="0.3">
      <c r="A125" s="167"/>
      <c r="B125" s="174"/>
      <c r="C125" s="174"/>
      <c r="D125" s="174"/>
      <c r="E125" s="174"/>
      <c r="F125" s="174"/>
      <c r="G125" s="174"/>
      <c r="H125" s="174"/>
      <c r="I125" s="174"/>
      <c r="J125" s="166"/>
      <c r="K125" s="166"/>
      <c r="L125" s="166"/>
      <c r="M125" s="167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 spans="1:26" ht="12.75" customHeight="1" x14ac:dyDescent="0.3">
      <c r="A126" s="167"/>
      <c r="B126" s="175" t="s">
        <v>414</v>
      </c>
      <c r="C126" s="219" t="s">
        <v>415</v>
      </c>
      <c r="D126" s="219" t="s">
        <v>416</v>
      </c>
      <c r="E126" s="219" t="s">
        <v>417</v>
      </c>
      <c r="F126" s="219" t="s">
        <v>418</v>
      </c>
      <c r="G126" s="219" t="s">
        <v>419</v>
      </c>
      <c r="H126" s="219" t="s">
        <v>420</v>
      </c>
      <c r="I126" s="219" t="s">
        <v>421</v>
      </c>
      <c r="J126" s="219" t="s">
        <v>422</v>
      </c>
      <c r="K126" s="220" t="s">
        <v>423</v>
      </c>
      <c r="L126" s="166"/>
      <c r="M126" s="167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 spans="1:26" ht="12.75" customHeight="1" x14ac:dyDescent="0.3">
      <c r="A127" s="167"/>
      <c r="B127" s="192" t="s">
        <v>347</v>
      </c>
      <c r="C127" s="262">
        <v>12</v>
      </c>
      <c r="D127" s="263">
        <f>IF(ISNA(VLOOKUP(B127,'Listado de Artículos'!$B$16:$F$1328,5,0)),0,(VLOOKUP(B127,'Listado de Artículos'!$B$16:$F$1328,5,0)))</f>
        <v>13.9</v>
      </c>
      <c r="E127" s="262">
        <v>1</v>
      </c>
      <c r="F127" s="262">
        <v>1</v>
      </c>
      <c r="G127" s="264">
        <f t="shared" ref="G127:G138" si="15">IF(E127&gt;0,(F127/E127),"")</f>
        <v>1</v>
      </c>
      <c r="H127" s="264">
        <f t="shared" ref="H127:H138" si="16">IF(E127&gt;0,(100%-G127),"")</f>
        <v>0</v>
      </c>
      <c r="I127" s="265">
        <f t="shared" ref="I127:I138" si="17">IF(C127&gt;0,(H127*C127/G127),"")</f>
        <v>0</v>
      </c>
      <c r="J127" s="265">
        <f t="shared" ref="J127:J138" si="18">IF(C127&gt;0,(C127+I127),"")</f>
        <v>12</v>
      </c>
      <c r="K127" s="211">
        <f t="shared" ref="K127:K138" si="19">IF(D127&gt;0,(D127*J127),"")</f>
        <v>166.8</v>
      </c>
      <c r="L127" s="166"/>
      <c r="M127" s="167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</row>
    <row r="128" spans="1:26" ht="12.75" customHeight="1" x14ac:dyDescent="0.3">
      <c r="A128" s="167"/>
      <c r="B128" s="177" t="s">
        <v>57</v>
      </c>
      <c r="C128" s="262">
        <v>1.4</v>
      </c>
      <c r="D128" s="263">
        <f>IF(ISNA(VLOOKUP(B128,'Listado de Artículos'!$B$16:$F$1328,5,0)),0,(VLOOKUP(B128,'Listado de Artículos'!$B$16:$F$1328,5,0)))</f>
        <v>2</v>
      </c>
      <c r="E128" s="262">
        <v>1</v>
      </c>
      <c r="F128" s="262">
        <v>1</v>
      </c>
      <c r="G128" s="264">
        <f t="shared" si="15"/>
        <v>1</v>
      </c>
      <c r="H128" s="264">
        <f t="shared" si="16"/>
        <v>0</v>
      </c>
      <c r="I128" s="265">
        <f t="shared" si="17"/>
        <v>0</v>
      </c>
      <c r="J128" s="265">
        <f t="shared" si="18"/>
        <v>1.4</v>
      </c>
      <c r="K128" s="211">
        <f t="shared" si="19"/>
        <v>2.8</v>
      </c>
      <c r="L128" s="166"/>
      <c r="M128" s="167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</row>
    <row r="129" spans="1:26" ht="12.75" customHeight="1" x14ac:dyDescent="0.3">
      <c r="A129" s="167"/>
      <c r="B129" s="177" t="s">
        <v>41</v>
      </c>
      <c r="C129" s="262">
        <v>3</v>
      </c>
      <c r="D129" s="263">
        <f>IF(ISNA(VLOOKUP(B129,'Listado de Artículos'!$B$16:$F$1328,5,0)),0,(VLOOKUP(B129,'Listado de Artículos'!$B$16:$F$1328,5,0)))</f>
        <v>5.95</v>
      </c>
      <c r="E129" s="262">
        <v>1</v>
      </c>
      <c r="F129" s="262">
        <v>1</v>
      </c>
      <c r="G129" s="264">
        <f t="shared" si="15"/>
        <v>1</v>
      </c>
      <c r="H129" s="264">
        <f t="shared" si="16"/>
        <v>0</v>
      </c>
      <c r="I129" s="265">
        <f t="shared" si="17"/>
        <v>0</v>
      </c>
      <c r="J129" s="265">
        <f t="shared" si="18"/>
        <v>3</v>
      </c>
      <c r="K129" s="211">
        <f t="shared" si="19"/>
        <v>17.850000000000001</v>
      </c>
      <c r="L129" s="166"/>
      <c r="M129" s="167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 spans="1:26" ht="12.75" customHeight="1" x14ac:dyDescent="0.3">
      <c r="A130" s="167"/>
      <c r="B130" s="177" t="s">
        <v>43</v>
      </c>
      <c r="C130" s="262">
        <v>3</v>
      </c>
      <c r="D130" s="263">
        <f>IF(ISNA(VLOOKUP(B130,'Listado de Artículos'!$B$16:$F$1328,5,0)),0,(VLOOKUP(B130,'Listado de Artículos'!$B$16:$F$1328,5,0)))</f>
        <v>8.9700000000000006</v>
      </c>
      <c r="E130" s="262">
        <v>1</v>
      </c>
      <c r="F130" s="262">
        <v>1</v>
      </c>
      <c r="G130" s="264">
        <f t="shared" si="15"/>
        <v>1</v>
      </c>
      <c r="H130" s="264">
        <f t="shared" si="16"/>
        <v>0</v>
      </c>
      <c r="I130" s="265">
        <f t="shared" si="17"/>
        <v>0</v>
      </c>
      <c r="J130" s="265">
        <f t="shared" si="18"/>
        <v>3</v>
      </c>
      <c r="K130" s="211">
        <f t="shared" si="19"/>
        <v>26.910000000000004</v>
      </c>
      <c r="L130" s="166"/>
      <c r="M130" s="167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 spans="1:26" ht="12.75" customHeight="1" x14ac:dyDescent="0.3">
      <c r="A131" s="167"/>
      <c r="B131" s="177" t="s">
        <v>66</v>
      </c>
      <c r="C131" s="262">
        <v>1.5</v>
      </c>
      <c r="D131" s="263">
        <f>IF(ISNA(VLOOKUP(B131,'Listado de Artículos'!$B$16:$F$1328,5,0)),0,(VLOOKUP(B131,'Listado de Artículos'!$B$16:$F$1328,5,0)))</f>
        <v>85.56</v>
      </c>
      <c r="E131" s="262">
        <v>1</v>
      </c>
      <c r="F131" s="262">
        <v>1</v>
      </c>
      <c r="G131" s="264">
        <f t="shared" si="15"/>
        <v>1</v>
      </c>
      <c r="H131" s="264">
        <f t="shared" si="16"/>
        <v>0</v>
      </c>
      <c r="I131" s="265">
        <f t="shared" si="17"/>
        <v>0</v>
      </c>
      <c r="J131" s="265">
        <f t="shared" si="18"/>
        <v>1.5</v>
      </c>
      <c r="K131" s="211">
        <f t="shared" si="19"/>
        <v>128.34</v>
      </c>
      <c r="L131" s="166"/>
      <c r="M131" s="167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 spans="1:26" ht="12.75" customHeight="1" x14ac:dyDescent="0.3">
      <c r="A132" s="167"/>
      <c r="B132" s="177" t="s">
        <v>85</v>
      </c>
      <c r="C132" s="262">
        <v>1.5</v>
      </c>
      <c r="D132" s="263">
        <f>IF(ISNA(VLOOKUP(B132,'Listado de Artículos'!$B$16:$F$1328,5,0)),0,(VLOOKUP(B132,'Listado de Artículos'!$B$16:$F$1328,5,0)))</f>
        <v>1.1499999999999999</v>
      </c>
      <c r="E132" s="262">
        <v>1</v>
      </c>
      <c r="F132" s="262">
        <v>1</v>
      </c>
      <c r="G132" s="264">
        <f t="shared" si="15"/>
        <v>1</v>
      </c>
      <c r="H132" s="264">
        <f t="shared" si="16"/>
        <v>0</v>
      </c>
      <c r="I132" s="265">
        <f t="shared" si="17"/>
        <v>0</v>
      </c>
      <c r="J132" s="265">
        <f t="shared" si="18"/>
        <v>1.5</v>
      </c>
      <c r="K132" s="211">
        <f t="shared" si="19"/>
        <v>1.7249999999999999</v>
      </c>
      <c r="L132" s="166"/>
      <c r="M132" s="167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</row>
    <row r="133" spans="1:26" ht="12.75" customHeight="1" x14ac:dyDescent="0.3">
      <c r="A133" s="167"/>
      <c r="B133" s="177" t="s">
        <v>291</v>
      </c>
      <c r="C133" s="262">
        <v>2.5000000000000001E-2</v>
      </c>
      <c r="D133" s="263">
        <f>IF(ISNA(VLOOKUP(B133,'Listado de Artículos'!$B$16:$F$1328,5,0)),0,(VLOOKUP(B133,'Listado de Artículos'!$B$16:$F$1328,5,0)))</f>
        <v>23</v>
      </c>
      <c r="E133" s="262">
        <v>1</v>
      </c>
      <c r="F133" s="262">
        <v>1</v>
      </c>
      <c r="G133" s="264">
        <f t="shared" si="15"/>
        <v>1</v>
      </c>
      <c r="H133" s="264">
        <f t="shared" si="16"/>
        <v>0</v>
      </c>
      <c r="I133" s="265">
        <f t="shared" si="17"/>
        <v>0</v>
      </c>
      <c r="J133" s="265">
        <f t="shared" si="18"/>
        <v>2.5000000000000001E-2</v>
      </c>
      <c r="K133" s="211">
        <f t="shared" si="19"/>
        <v>0.57500000000000007</v>
      </c>
      <c r="L133" s="166"/>
      <c r="M133" s="167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</row>
    <row r="134" spans="1:26" ht="12.75" customHeight="1" x14ac:dyDescent="0.3">
      <c r="A134" s="167"/>
      <c r="B134" s="177" t="s">
        <v>355</v>
      </c>
      <c r="C134" s="262">
        <v>0.25</v>
      </c>
      <c r="D134" s="263">
        <f>IF(ISNA(VLOOKUP(B134,'Listado de Artículos'!$B$16:$F$1328,5,0)),0,(VLOOKUP(B134,'Listado de Artículos'!$B$16:$F$1328,5,0)))</f>
        <v>1</v>
      </c>
      <c r="E134" s="262">
        <v>1</v>
      </c>
      <c r="F134" s="262">
        <v>1</v>
      </c>
      <c r="G134" s="264">
        <f t="shared" si="15"/>
        <v>1</v>
      </c>
      <c r="H134" s="264">
        <f t="shared" si="16"/>
        <v>0</v>
      </c>
      <c r="I134" s="265">
        <f t="shared" si="17"/>
        <v>0</v>
      </c>
      <c r="J134" s="265">
        <f t="shared" si="18"/>
        <v>0.25</v>
      </c>
      <c r="K134" s="211">
        <f t="shared" si="19"/>
        <v>0.25</v>
      </c>
      <c r="L134" s="166"/>
      <c r="M134" s="167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 spans="1:26" ht="12.75" customHeight="1" x14ac:dyDescent="0.3">
      <c r="A135" s="167"/>
      <c r="B135" s="177" t="s">
        <v>354</v>
      </c>
      <c r="C135" s="262">
        <v>0.05</v>
      </c>
      <c r="D135" s="263">
        <f>IF(ISNA(VLOOKUP(B135,'Listado de Artículos'!$B$16:$F$1328,5,0)),0,(VLOOKUP(B135,'Listado de Artículos'!$B$16:$F$1328,5,0)))</f>
        <v>4.5</v>
      </c>
      <c r="E135" s="262">
        <v>1</v>
      </c>
      <c r="F135" s="262">
        <v>1</v>
      </c>
      <c r="G135" s="264">
        <f t="shared" si="15"/>
        <v>1</v>
      </c>
      <c r="H135" s="264">
        <f t="shared" si="16"/>
        <v>0</v>
      </c>
      <c r="I135" s="265">
        <f t="shared" si="17"/>
        <v>0</v>
      </c>
      <c r="J135" s="265">
        <f t="shared" si="18"/>
        <v>0.05</v>
      </c>
      <c r="K135" s="211">
        <f t="shared" si="19"/>
        <v>0.22500000000000001</v>
      </c>
      <c r="L135" s="166"/>
      <c r="M135" s="167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 spans="1:26" ht="12.75" customHeight="1" x14ac:dyDescent="0.3">
      <c r="A136" s="167"/>
      <c r="B136" s="177" t="s">
        <v>135</v>
      </c>
      <c r="C136" s="262">
        <v>0.01</v>
      </c>
      <c r="D136" s="263">
        <f>IF(ISNA(VLOOKUP(B136,'Listado de Artículos'!$B$16:$F$1328,5,0)),0,(VLOOKUP(B136,'Listado de Artículos'!$B$16:$F$1328,5,0)))</f>
        <v>1.55</v>
      </c>
      <c r="E136" s="262">
        <v>1</v>
      </c>
      <c r="F136" s="262">
        <v>1</v>
      </c>
      <c r="G136" s="264">
        <f t="shared" si="15"/>
        <v>1</v>
      </c>
      <c r="H136" s="264">
        <f t="shared" si="16"/>
        <v>0</v>
      </c>
      <c r="I136" s="265">
        <f t="shared" si="17"/>
        <v>0</v>
      </c>
      <c r="J136" s="265">
        <f t="shared" si="18"/>
        <v>0.01</v>
      </c>
      <c r="K136" s="211">
        <f t="shared" si="19"/>
        <v>1.5500000000000002E-2</v>
      </c>
      <c r="L136" s="166"/>
      <c r="M136" s="167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 spans="1:26" ht="12.75" customHeight="1" x14ac:dyDescent="0.3">
      <c r="A137" s="167"/>
      <c r="B137" s="177" t="s">
        <v>316</v>
      </c>
      <c r="C137" s="262">
        <v>0.06</v>
      </c>
      <c r="D137" s="263">
        <f>IF(ISNA(VLOOKUP(B137,'Listado de Artículos'!$B$16:$F$1328,5,0)),0,(VLOOKUP(B137,'Listado de Artículos'!$B$16:$F$1328,5,0)))</f>
        <v>3.5</v>
      </c>
      <c r="E137" s="262">
        <v>1</v>
      </c>
      <c r="F137" s="262">
        <v>1</v>
      </c>
      <c r="G137" s="264">
        <f t="shared" si="15"/>
        <v>1</v>
      </c>
      <c r="H137" s="264">
        <f t="shared" si="16"/>
        <v>0</v>
      </c>
      <c r="I137" s="265">
        <f t="shared" si="17"/>
        <v>0</v>
      </c>
      <c r="J137" s="265">
        <f t="shared" si="18"/>
        <v>0.06</v>
      </c>
      <c r="K137" s="211">
        <f t="shared" si="19"/>
        <v>0.21</v>
      </c>
      <c r="L137" s="166"/>
      <c r="M137" s="167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 spans="1:26" ht="12.75" customHeight="1" x14ac:dyDescent="0.3">
      <c r="A138" s="167"/>
      <c r="B138" s="177" t="s">
        <v>125</v>
      </c>
      <c r="C138" s="262">
        <v>0.05</v>
      </c>
      <c r="D138" s="263">
        <f>IF(ISNA(VLOOKUP(B138,'Listado de Artículos'!$B$16:$F$1328,5,0)),0,(VLOOKUP(B138,'Listado de Artículos'!$B$16:$F$1328,5,0)))</f>
        <v>18.75</v>
      </c>
      <c r="E138" s="262">
        <v>1</v>
      </c>
      <c r="F138" s="262">
        <v>1</v>
      </c>
      <c r="G138" s="264">
        <f t="shared" si="15"/>
        <v>1</v>
      </c>
      <c r="H138" s="264">
        <f t="shared" si="16"/>
        <v>0</v>
      </c>
      <c r="I138" s="265">
        <f t="shared" si="17"/>
        <v>0</v>
      </c>
      <c r="J138" s="265">
        <f t="shared" si="18"/>
        <v>0.05</v>
      </c>
      <c r="K138" s="211">
        <f t="shared" si="19"/>
        <v>0.9375</v>
      </c>
      <c r="L138" s="166"/>
      <c r="M138" s="167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 spans="1:26" ht="12.75" customHeight="1" x14ac:dyDescent="0.3">
      <c r="A139" s="164"/>
      <c r="B139" s="165"/>
      <c r="C139" s="165"/>
      <c r="D139" s="165"/>
      <c r="E139" s="165"/>
      <c r="F139" s="165"/>
      <c r="G139" s="165"/>
      <c r="H139" s="165"/>
      <c r="I139" s="165"/>
      <c r="J139" s="165"/>
      <c r="K139" s="165"/>
      <c r="L139" s="164"/>
    </row>
    <row r="140" spans="1:26" ht="12.75" customHeight="1" x14ac:dyDescent="0.3">
      <c r="A140" s="167"/>
      <c r="B140" s="166"/>
      <c r="C140" s="303" t="s">
        <v>405</v>
      </c>
      <c r="D140" s="304"/>
      <c r="E140" s="304"/>
      <c r="F140" s="304"/>
      <c r="G140" s="304"/>
      <c r="H140" s="304"/>
      <c r="I140" s="304"/>
      <c r="J140" s="304"/>
      <c r="K140" s="305"/>
      <c r="L140" s="166"/>
      <c r="M140" s="167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 spans="1:26" ht="12.75" customHeight="1" x14ac:dyDescent="0.3">
      <c r="A141" s="167"/>
      <c r="B141" s="166"/>
      <c r="C141" s="316" t="s">
        <v>406</v>
      </c>
      <c r="D141" s="304"/>
      <c r="E141" s="304"/>
      <c r="F141" s="304"/>
      <c r="G141" s="304"/>
      <c r="H141" s="304"/>
      <c r="I141" s="304"/>
      <c r="J141" s="304"/>
      <c r="K141" s="305"/>
      <c r="L141" s="166"/>
      <c r="M141" s="167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 spans="1:26" ht="12.75" customHeight="1" x14ac:dyDescent="0.3">
      <c r="A142" s="167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7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 spans="1:26" ht="12.75" customHeight="1" x14ac:dyDescent="0.3">
      <c r="A143" s="167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7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 spans="1:26" ht="12.75" customHeight="1" x14ac:dyDescent="0.3">
      <c r="A144" s="167"/>
      <c r="B144" s="167"/>
      <c r="C144" s="168" t="s">
        <v>407</v>
      </c>
      <c r="D144" s="309" t="s">
        <v>438</v>
      </c>
      <c r="E144" s="310"/>
      <c r="F144" s="310"/>
      <c r="G144" s="310"/>
      <c r="H144" s="310"/>
      <c r="I144" s="310"/>
      <c r="J144" s="310"/>
      <c r="K144" s="310"/>
      <c r="L144" s="166"/>
      <c r="M144" s="167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 spans="1:26" ht="12.75" customHeight="1" x14ac:dyDescent="0.3">
      <c r="A145" s="169"/>
      <c r="B145" s="169"/>
      <c r="C145" s="170" t="s">
        <v>409</v>
      </c>
      <c r="D145" s="311" t="s">
        <v>410</v>
      </c>
      <c r="E145" s="312"/>
      <c r="F145" s="312"/>
      <c r="G145" s="313"/>
      <c r="H145" s="319"/>
      <c r="I145" s="315"/>
      <c r="J145" s="307"/>
      <c r="K145" s="308"/>
      <c r="L145" s="167"/>
      <c r="M145" s="167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 spans="1:26" ht="12.75" customHeight="1" x14ac:dyDescent="0.3">
      <c r="A146" s="167"/>
      <c r="B146" s="166"/>
      <c r="C146" s="171" t="s">
        <v>411</v>
      </c>
      <c r="D146" s="260">
        <v>1</v>
      </c>
      <c r="E146" s="317" t="s">
        <v>412</v>
      </c>
      <c r="F146" s="318"/>
      <c r="G146" s="172">
        <f>SUM(K149:K153)</f>
        <v>14.112677777777776</v>
      </c>
      <c r="H146" s="314" t="s">
        <v>432</v>
      </c>
      <c r="I146" s="315"/>
      <c r="J146" s="261">
        <f>G146/D146</f>
        <v>14.112677777777776</v>
      </c>
      <c r="K146" s="270"/>
      <c r="L146" s="166"/>
      <c r="M146" s="167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 spans="1:26" ht="12.75" customHeight="1" x14ac:dyDescent="0.3">
      <c r="A147" s="167"/>
      <c r="B147" s="174"/>
      <c r="C147" s="174"/>
      <c r="D147" s="174"/>
      <c r="E147" s="174"/>
      <c r="F147" s="174"/>
      <c r="G147" s="174"/>
      <c r="H147" s="174"/>
      <c r="I147" s="174"/>
      <c r="J147" s="166"/>
      <c r="K147" s="166"/>
      <c r="L147" s="166"/>
      <c r="M147" s="167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 spans="1:26" ht="12.75" customHeight="1" x14ac:dyDescent="0.3">
      <c r="A148" s="167"/>
      <c r="B148" s="175" t="s">
        <v>414</v>
      </c>
      <c r="C148" s="219" t="s">
        <v>415</v>
      </c>
      <c r="D148" s="219" t="s">
        <v>416</v>
      </c>
      <c r="E148" s="219" t="s">
        <v>417</v>
      </c>
      <c r="F148" s="219" t="s">
        <v>418</v>
      </c>
      <c r="G148" s="219" t="s">
        <v>419</v>
      </c>
      <c r="H148" s="219" t="s">
        <v>420</v>
      </c>
      <c r="I148" s="219" t="s">
        <v>421</v>
      </c>
      <c r="J148" s="219" t="s">
        <v>422</v>
      </c>
      <c r="K148" s="220" t="s">
        <v>423</v>
      </c>
      <c r="L148" s="166"/>
      <c r="M148" s="167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 spans="1:26" ht="12.75" customHeight="1" x14ac:dyDescent="0.3">
      <c r="A149" s="167"/>
      <c r="B149" s="192" t="s">
        <v>192</v>
      </c>
      <c r="C149" s="262">
        <v>0.01</v>
      </c>
      <c r="D149" s="263">
        <f>IF(ISNA(VLOOKUP(B149,'Listado de Artículos'!$B$16:$F$1328,5,0)),0,(VLOOKUP(B149,'Listado de Artículos'!$B$16:$F$1328,5,0)))</f>
        <v>11.5</v>
      </c>
      <c r="E149" s="262">
        <v>1</v>
      </c>
      <c r="F149" s="262">
        <v>0.9</v>
      </c>
      <c r="G149" s="264">
        <f>IF(E149&gt;0,(F149/E149),"")</f>
        <v>0.9</v>
      </c>
      <c r="H149" s="264">
        <f>IF(E149&gt;0,(100%-G149),"")</f>
        <v>9.9999999999999978E-2</v>
      </c>
      <c r="I149" s="265">
        <f>IF(C149&gt;0,(H149*C149/G149),"")</f>
        <v>1.1111111111111109E-3</v>
      </c>
      <c r="J149" s="265">
        <f>IF(C149&gt;0,(C149+I149),"")</f>
        <v>1.1111111111111112E-2</v>
      </c>
      <c r="K149" s="211">
        <f>IF(D149&gt;0,(D149*J149),"")</f>
        <v>0.1277777777777778</v>
      </c>
      <c r="L149" s="166"/>
      <c r="M149" s="167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 spans="1:26" ht="12.75" customHeight="1" x14ac:dyDescent="0.3">
      <c r="A150" s="167"/>
      <c r="B150" s="191" t="s">
        <v>262</v>
      </c>
      <c r="C150" s="262">
        <v>1.4999999999999999E-2</v>
      </c>
      <c r="D150" s="263">
        <f>IF(ISNA(VLOOKUP(B150,'Listado de Artículos'!$B$16:$F$1328,5,0)),0,(VLOOKUP(B150,'Listado de Artículos'!$B$16:$F$1328,5,0)))</f>
        <v>8.5</v>
      </c>
      <c r="E150" s="262">
        <v>1</v>
      </c>
      <c r="F150" s="262">
        <v>1</v>
      </c>
      <c r="G150" s="264">
        <f>IF(E150&gt;0,(F150/E150),"")</f>
        <v>1</v>
      </c>
      <c r="H150" s="264">
        <f>IF(E150&gt;0,(100%-G150),"")</f>
        <v>0</v>
      </c>
      <c r="I150" s="265">
        <f>IF(C150&gt;0,(H150*C150/G150),"")</f>
        <v>0</v>
      </c>
      <c r="J150" s="265">
        <f>IF(C150&gt;0,(C150+I150),"")</f>
        <v>1.4999999999999999E-2</v>
      </c>
      <c r="K150" s="211">
        <f>IF(D150&gt;0,(D150*J150),"")</f>
        <v>0.1275</v>
      </c>
      <c r="L150" s="166"/>
      <c r="M150" s="167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</row>
    <row r="151" spans="1:26" ht="12.75" customHeight="1" x14ac:dyDescent="0.3">
      <c r="A151" s="167"/>
      <c r="B151" s="177" t="s">
        <v>263</v>
      </c>
      <c r="C151" s="262">
        <v>1.4999999999999999E-2</v>
      </c>
      <c r="D151" s="263">
        <f>IF(ISNA(VLOOKUP(B151,'Listado de Artículos'!$B$16:$F$1328,5,0)),0,(VLOOKUP(B151,'Listado de Artículos'!$B$16:$F$1328,5,0)))</f>
        <v>6.46</v>
      </c>
      <c r="E151" s="262">
        <v>1</v>
      </c>
      <c r="F151" s="262">
        <v>1</v>
      </c>
      <c r="G151" s="264">
        <f>IF(E151&gt;0,(F151/E151),"")</f>
        <v>1</v>
      </c>
      <c r="H151" s="264">
        <f>IF(E151&gt;0,(100%-G151),"")</f>
        <v>0</v>
      </c>
      <c r="I151" s="265">
        <f>IF(C151&gt;0,(H151*C151/G151),"")</f>
        <v>0</v>
      </c>
      <c r="J151" s="265">
        <f>IF(C151&gt;0,(C151+I151),"")</f>
        <v>1.4999999999999999E-2</v>
      </c>
      <c r="K151" s="211">
        <f>IF(D151&gt;0,(D151*J151),"")</f>
        <v>9.69E-2</v>
      </c>
      <c r="L151" s="166"/>
      <c r="M151" s="167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 spans="1:26" ht="12.75" customHeight="1" x14ac:dyDescent="0.3">
      <c r="A152" s="167"/>
      <c r="B152" s="177" t="s">
        <v>84</v>
      </c>
      <c r="C152" s="262">
        <v>0.01</v>
      </c>
      <c r="D152" s="263">
        <f>IF(ISNA(VLOOKUP(B152,'Listado de Artículos'!$B$16:$F$1328,5,0)),0,(VLOOKUP(B152,'Listado de Artículos'!$B$16:$F$1328,5,0)))</f>
        <v>522.04999999999995</v>
      </c>
      <c r="E152" s="262">
        <v>1</v>
      </c>
      <c r="F152" s="262">
        <v>1</v>
      </c>
      <c r="G152" s="264">
        <f>IF(E152&gt;0,(F152/E152),"")</f>
        <v>1</v>
      </c>
      <c r="H152" s="264">
        <f>IF(E152&gt;0,(100%-G152),"")</f>
        <v>0</v>
      </c>
      <c r="I152" s="265">
        <f>IF(C152&gt;0,(H152*C152/G152),"")</f>
        <v>0</v>
      </c>
      <c r="J152" s="265">
        <f>IF(C152&gt;0,(C152+I152),"")</f>
        <v>0.01</v>
      </c>
      <c r="K152" s="211">
        <f>IF(D152&gt;0,(D152*J152),"")</f>
        <v>5.2204999999999995</v>
      </c>
      <c r="L152" s="166"/>
      <c r="M152" s="167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 spans="1:26" ht="12.75" customHeight="1" x14ac:dyDescent="0.3">
      <c r="A153" s="167"/>
      <c r="B153" s="177" t="s">
        <v>329</v>
      </c>
      <c r="C153" s="262">
        <v>1</v>
      </c>
      <c r="D153" s="263">
        <f>IF(ISNA(VLOOKUP(B153,'Listado de Artículos'!$B$16:$F$1328,5,0)),0,(VLOOKUP(B153,'Listado de Artículos'!$B$16:$F$1328,5,0)))</f>
        <v>8.5399999999999991</v>
      </c>
      <c r="E153" s="262">
        <v>1</v>
      </c>
      <c r="F153" s="262">
        <v>1</v>
      </c>
      <c r="G153" s="264">
        <f>IF(E153&gt;0,(F153/E153),"")</f>
        <v>1</v>
      </c>
      <c r="H153" s="264">
        <f>IF(E153&gt;0,(100%-G153),"")</f>
        <v>0</v>
      </c>
      <c r="I153" s="265">
        <f>IF(C153&gt;0,(H153*C153/G153),"")</f>
        <v>0</v>
      </c>
      <c r="J153" s="265">
        <f>IF(C153&gt;0,(C153+I153),"")</f>
        <v>1</v>
      </c>
      <c r="K153" s="211">
        <f>IF(D153&gt;0,(D153*J153),"")</f>
        <v>8.5399999999999991</v>
      </c>
      <c r="L153" s="166"/>
      <c r="M153" s="167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 spans="1:26" ht="12.75" customHeight="1" x14ac:dyDescent="0.3">
      <c r="A154" s="164"/>
      <c r="B154" s="165"/>
      <c r="C154" s="165"/>
      <c r="D154" s="165"/>
      <c r="E154" s="165"/>
      <c r="F154" s="165"/>
      <c r="G154" s="165"/>
      <c r="H154" s="165"/>
      <c r="I154" s="165"/>
      <c r="J154" s="165"/>
      <c r="K154" s="165"/>
      <c r="L154" s="164"/>
    </row>
    <row r="155" spans="1:26" ht="12.75" customHeight="1" x14ac:dyDescent="0.3">
      <c r="A155" s="167"/>
      <c r="B155" s="166"/>
      <c r="C155" s="303" t="s">
        <v>405</v>
      </c>
      <c r="D155" s="304"/>
      <c r="E155" s="304"/>
      <c r="F155" s="304"/>
      <c r="G155" s="304"/>
      <c r="H155" s="304"/>
      <c r="I155" s="304"/>
      <c r="J155" s="304"/>
      <c r="K155" s="305"/>
      <c r="L155" s="166"/>
      <c r="M155" s="167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</row>
    <row r="156" spans="1:26" ht="12.75" customHeight="1" x14ac:dyDescent="0.3">
      <c r="A156" s="167"/>
      <c r="B156" s="166"/>
      <c r="C156" s="316" t="s">
        <v>406</v>
      </c>
      <c r="D156" s="304"/>
      <c r="E156" s="304"/>
      <c r="F156" s="304"/>
      <c r="G156" s="304"/>
      <c r="H156" s="304"/>
      <c r="I156" s="304"/>
      <c r="J156" s="304"/>
      <c r="K156" s="305"/>
      <c r="L156" s="166"/>
      <c r="M156" s="167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 spans="1:26" ht="12.75" customHeight="1" x14ac:dyDescent="0.3">
      <c r="A157" s="167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7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 spans="1:26" ht="12.75" customHeight="1" x14ac:dyDescent="0.3">
      <c r="A158" s="167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7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 spans="1:26" ht="12.75" customHeight="1" x14ac:dyDescent="0.3">
      <c r="A159" s="167"/>
      <c r="B159" s="167"/>
      <c r="C159" s="168" t="s">
        <v>407</v>
      </c>
      <c r="D159" s="309" t="s">
        <v>439</v>
      </c>
      <c r="E159" s="310"/>
      <c r="F159" s="310"/>
      <c r="G159" s="310"/>
      <c r="H159" s="310"/>
      <c r="I159" s="310"/>
      <c r="J159" s="310"/>
      <c r="K159" s="310"/>
      <c r="L159" s="166"/>
      <c r="M159" s="167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 spans="1:26" ht="12.75" customHeight="1" x14ac:dyDescent="0.3">
      <c r="A160" s="169"/>
      <c r="B160" s="169"/>
      <c r="C160" s="170" t="s">
        <v>409</v>
      </c>
      <c r="D160" s="311"/>
      <c r="E160" s="312"/>
      <c r="F160" s="312"/>
      <c r="G160" s="313"/>
      <c r="H160" s="319"/>
      <c r="I160" s="315"/>
      <c r="J160" s="307"/>
      <c r="K160" s="308"/>
      <c r="L160" s="167"/>
      <c r="M160" s="167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 spans="1:26" ht="12.75" customHeight="1" x14ac:dyDescent="0.3">
      <c r="A161" s="167"/>
      <c r="B161" s="166"/>
      <c r="C161" s="171" t="s">
        <v>411</v>
      </c>
      <c r="D161" s="260">
        <v>1</v>
      </c>
      <c r="E161" s="317" t="s">
        <v>412</v>
      </c>
      <c r="F161" s="318"/>
      <c r="G161" s="172">
        <f>SUM(K164:K172)</f>
        <v>1.3573899999999999</v>
      </c>
      <c r="H161" s="314" t="s">
        <v>432</v>
      </c>
      <c r="I161" s="315"/>
      <c r="J161" s="261">
        <f>G161/D161</f>
        <v>1.3573899999999999</v>
      </c>
      <c r="K161" s="270"/>
      <c r="L161" s="166"/>
      <c r="M161" s="167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 spans="1:26" ht="12.75" customHeight="1" x14ac:dyDescent="0.3">
      <c r="A162" s="167"/>
      <c r="B162" s="174"/>
      <c r="C162" s="174"/>
      <c r="D162" s="174"/>
      <c r="E162" s="174"/>
      <c r="F162" s="174"/>
      <c r="G162" s="174"/>
      <c r="H162" s="174"/>
      <c r="I162" s="174"/>
      <c r="J162" s="166"/>
      <c r="K162" s="166"/>
      <c r="L162" s="166"/>
      <c r="M162" s="167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 spans="1:26" ht="12.75" customHeight="1" x14ac:dyDescent="0.3">
      <c r="A163" s="167"/>
      <c r="B163" s="175" t="s">
        <v>414</v>
      </c>
      <c r="C163" s="219" t="s">
        <v>415</v>
      </c>
      <c r="D163" s="219" t="s">
        <v>416</v>
      </c>
      <c r="E163" s="219" t="s">
        <v>417</v>
      </c>
      <c r="F163" s="219" t="s">
        <v>418</v>
      </c>
      <c r="G163" s="219" t="s">
        <v>419</v>
      </c>
      <c r="H163" s="219" t="s">
        <v>420</v>
      </c>
      <c r="I163" s="219" t="s">
        <v>421</v>
      </c>
      <c r="J163" s="219" t="s">
        <v>422</v>
      </c>
      <c r="K163" s="220" t="s">
        <v>423</v>
      </c>
      <c r="L163" s="166"/>
      <c r="M163" s="167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 spans="1:26" ht="12.75" customHeight="1" x14ac:dyDescent="0.3">
      <c r="A164" s="167"/>
      <c r="B164" s="192" t="s">
        <v>222</v>
      </c>
      <c r="C164" s="262">
        <v>0.03</v>
      </c>
      <c r="D164" s="263">
        <f>IF(ISNA(VLOOKUP(B164,'Listado de Artículos'!$B$16:$F$1328,5,0)),0,(VLOOKUP(B164,'Listado de Artículos'!$B$16:$F$1328,5,0)))</f>
        <v>8.5</v>
      </c>
      <c r="E164" s="262">
        <v>1</v>
      </c>
      <c r="F164" s="262">
        <v>1</v>
      </c>
      <c r="G164" s="264">
        <f t="shared" ref="G164:G172" si="20">IF(E164&gt;0,(F164/E164),"")</f>
        <v>1</v>
      </c>
      <c r="H164" s="264">
        <f t="shared" ref="H164:H172" si="21">IF(E164&gt;0,(100%-G164),"")</f>
        <v>0</v>
      </c>
      <c r="I164" s="265">
        <f t="shared" ref="I164:I172" si="22">IF(C164&gt;0,(H164*C164/G164),"")</f>
        <v>0</v>
      </c>
      <c r="J164" s="265">
        <f t="shared" ref="J164:J172" si="23">IF(C164&gt;0,(C164+I164),"")</f>
        <v>0.03</v>
      </c>
      <c r="K164" s="211">
        <f t="shared" ref="K164:K172" si="24">IF(D164&gt;0,(D164*J164),"")</f>
        <v>0.255</v>
      </c>
      <c r="L164" s="166"/>
      <c r="M164" s="167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 spans="1:26" ht="12.75" customHeight="1" x14ac:dyDescent="0.3">
      <c r="A165" s="167"/>
      <c r="B165" s="191" t="s">
        <v>345</v>
      </c>
      <c r="C165" s="262">
        <v>0.01</v>
      </c>
      <c r="D165" s="263">
        <f>IF(ISNA(VLOOKUP(B165,'Listado de Artículos'!$B$16:$F$1328,5,0)),0,(VLOOKUP(B165,'Listado de Artículos'!$B$16:$F$1328,5,0)))</f>
        <v>4.8499999999999996</v>
      </c>
      <c r="E165" s="262">
        <v>1</v>
      </c>
      <c r="F165" s="262">
        <v>1</v>
      </c>
      <c r="G165" s="264">
        <f t="shared" si="20"/>
        <v>1</v>
      </c>
      <c r="H165" s="264">
        <f t="shared" si="21"/>
        <v>0</v>
      </c>
      <c r="I165" s="265">
        <f t="shared" si="22"/>
        <v>0</v>
      </c>
      <c r="J165" s="265">
        <f t="shared" si="23"/>
        <v>0.01</v>
      </c>
      <c r="K165" s="211">
        <f t="shared" si="24"/>
        <v>4.8499999999999995E-2</v>
      </c>
      <c r="L165" s="166"/>
      <c r="M165" s="167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</row>
    <row r="166" spans="1:26" ht="12.75" customHeight="1" x14ac:dyDescent="0.3">
      <c r="A166" s="167"/>
      <c r="B166" s="177" t="s">
        <v>139</v>
      </c>
      <c r="C166" s="262">
        <v>5.0000000000000001E-3</v>
      </c>
      <c r="D166" s="263">
        <f>IF(ISNA(VLOOKUP(B166,'Listado de Artículos'!$B$16:$F$1328,5,0)),0,(VLOOKUP(B166,'Listado de Artículos'!$B$16:$F$1328,5,0)))</f>
        <v>4.8499999999999996</v>
      </c>
      <c r="E166" s="262">
        <v>1</v>
      </c>
      <c r="F166" s="262">
        <v>1</v>
      </c>
      <c r="G166" s="264">
        <f t="shared" si="20"/>
        <v>1</v>
      </c>
      <c r="H166" s="264">
        <f t="shared" si="21"/>
        <v>0</v>
      </c>
      <c r="I166" s="265">
        <f t="shared" si="22"/>
        <v>0</v>
      </c>
      <c r="J166" s="265">
        <f t="shared" si="23"/>
        <v>5.0000000000000001E-3</v>
      </c>
      <c r="K166" s="211">
        <f t="shared" si="24"/>
        <v>2.4249999999999997E-2</v>
      </c>
      <c r="L166" s="166"/>
      <c r="M166" s="167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 spans="1:26" ht="27" customHeight="1" x14ac:dyDescent="0.3">
      <c r="A167" s="167"/>
      <c r="B167" s="177" t="s">
        <v>196</v>
      </c>
      <c r="C167" s="262">
        <v>0.05</v>
      </c>
      <c r="D167" s="263">
        <f>IF(ISNA(VLOOKUP(B167,'Listado de Artículos'!$B$16:$F$1328,5,0)),0,(VLOOKUP(B167,'Listado de Artículos'!$B$16:$F$1328,5,0)))</f>
        <v>5.5</v>
      </c>
      <c r="E167" s="262">
        <v>1</v>
      </c>
      <c r="F167" s="262">
        <v>1</v>
      </c>
      <c r="G167" s="264">
        <f t="shared" si="20"/>
        <v>1</v>
      </c>
      <c r="H167" s="264">
        <f t="shared" si="21"/>
        <v>0</v>
      </c>
      <c r="I167" s="265">
        <f t="shared" si="22"/>
        <v>0</v>
      </c>
      <c r="J167" s="265">
        <f t="shared" si="23"/>
        <v>0.05</v>
      </c>
      <c r="K167" s="211">
        <f t="shared" si="24"/>
        <v>0.27500000000000002</v>
      </c>
      <c r="L167" s="195" t="s">
        <v>440</v>
      </c>
      <c r="M167" s="167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 spans="1:26" ht="12.75" customHeight="1" x14ac:dyDescent="0.3">
      <c r="A168" s="167"/>
      <c r="B168" s="177" t="s">
        <v>83</v>
      </c>
      <c r="C168" s="262">
        <v>1.4999999999999999E-2</v>
      </c>
      <c r="D168" s="263">
        <f>IF(ISNA(VLOOKUP(B168,'Listado de Artículos'!$B$16:$F$1328,5,0)),0,(VLOOKUP(B168,'Listado de Artículos'!$B$16:$F$1328,5,0)))</f>
        <v>18.989999999999998</v>
      </c>
      <c r="E168" s="262">
        <v>1</v>
      </c>
      <c r="F168" s="262">
        <v>1</v>
      </c>
      <c r="G168" s="264">
        <f t="shared" si="20"/>
        <v>1</v>
      </c>
      <c r="H168" s="264">
        <f t="shared" si="21"/>
        <v>0</v>
      </c>
      <c r="I168" s="265">
        <f t="shared" si="22"/>
        <v>0</v>
      </c>
      <c r="J168" s="265">
        <f t="shared" si="23"/>
        <v>1.4999999999999999E-2</v>
      </c>
      <c r="K168" s="211">
        <f t="shared" si="24"/>
        <v>0.28484999999999999</v>
      </c>
      <c r="L168" s="166"/>
      <c r="M168" s="167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 spans="1:26" ht="12.75" customHeight="1" x14ac:dyDescent="0.3">
      <c r="A169" s="167"/>
      <c r="B169" s="177" t="s">
        <v>360</v>
      </c>
      <c r="C169" s="262">
        <v>0.01</v>
      </c>
      <c r="D169" s="263">
        <f>IF(ISNA(VLOOKUP(B169,'Listado de Artículos'!$B$16:$F$1328,5,0)),0,(VLOOKUP(B169,'Listado de Artículos'!$B$16:$F$1328,5,0)))</f>
        <v>4.25</v>
      </c>
      <c r="E169" s="262">
        <v>1</v>
      </c>
      <c r="F169" s="262">
        <v>1</v>
      </c>
      <c r="G169" s="264">
        <f t="shared" si="20"/>
        <v>1</v>
      </c>
      <c r="H169" s="264">
        <f t="shared" si="21"/>
        <v>0</v>
      </c>
      <c r="I169" s="265">
        <f t="shared" si="22"/>
        <v>0</v>
      </c>
      <c r="J169" s="265">
        <f t="shared" si="23"/>
        <v>0.01</v>
      </c>
      <c r="K169" s="211">
        <f t="shared" si="24"/>
        <v>4.2500000000000003E-2</v>
      </c>
      <c r="L169" s="166"/>
      <c r="M169" s="167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 spans="1:26" ht="12.75" customHeight="1" x14ac:dyDescent="0.3">
      <c r="A170" s="167"/>
      <c r="B170" s="177" t="s">
        <v>235</v>
      </c>
      <c r="C170" s="262">
        <v>5.0000000000000001E-3</v>
      </c>
      <c r="D170" s="263">
        <f>IF(ISNA(VLOOKUP(B170,'Listado de Artículos'!$B$16:$F$1328,5,0)),0,(VLOOKUP(B170,'Listado de Artículos'!$B$16:$F$1328,5,0)))</f>
        <v>8.99</v>
      </c>
      <c r="E170" s="262">
        <v>1</v>
      </c>
      <c r="F170" s="262">
        <v>1</v>
      </c>
      <c r="G170" s="264">
        <f t="shared" si="20"/>
        <v>1</v>
      </c>
      <c r="H170" s="264">
        <f t="shared" si="21"/>
        <v>0</v>
      </c>
      <c r="I170" s="265">
        <f t="shared" si="22"/>
        <v>0</v>
      </c>
      <c r="J170" s="265">
        <f t="shared" si="23"/>
        <v>5.0000000000000001E-3</v>
      </c>
      <c r="K170" s="211">
        <f t="shared" si="24"/>
        <v>4.4950000000000004E-2</v>
      </c>
      <c r="L170" s="166"/>
      <c r="M170" s="167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</row>
    <row r="171" spans="1:26" ht="12.75" customHeight="1" x14ac:dyDescent="0.3">
      <c r="A171" s="167"/>
      <c r="B171" s="177" t="s">
        <v>356</v>
      </c>
      <c r="C171" s="262">
        <v>0.02</v>
      </c>
      <c r="D171" s="263">
        <f>IF(ISNA(VLOOKUP(B171,'Listado de Artículos'!$B$16:$F$1328,5,0)),0,(VLOOKUP(B171,'Listado de Artículos'!$B$16:$F$1328,5,0)))</f>
        <v>18.25</v>
      </c>
      <c r="E171" s="262">
        <v>1</v>
      </c>
      <c r="F171" s="262">
        <v>1</v>
      </c>
      <c r="G171" s="264">
        <f t="shared" si="20"/>
        <v>1</v>
      </c>
      <c r="H171" s="264">
        <f t="shared" si="21"/>
        <v>0</v>
      </c>
      <c r="I171" s="265">
        <f t="shared" si="22"/>
        <v>0</v>
      </c>
      <c r="J171" s="265">
        <f t="shared" si="23"/>
        <v>0.02</v>
      </c>
      <c r="K171" s="211">
        <f t="shared" si="24"/>
        <v>0.36499999999999999</v>
      </c>
      <c r="L171" s="166"/>
      <c r="M171" s="167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 spans="1:26" ht="12.75" customHeight="1" x14ac:dyDescent="0.3">
      <c r="A172" s="167"/>
      <c r="B172" s="177" t="s">
        <v>317</v>
      </c>
      <c r="C172" s="262">
        <v>3.0000000000000001E-3</v>
      </c>
      <c r="D172" s="263">
        <f>IF(ISNA(VLOOKUP(B172,'Listado de Artículos'!$B$16:$F$1328,5,0)),0,(VLOOKUP(B172,'Listado de Artículos'!$B$16:$F$1328,5,0)))</f>
        <v>5.78</v>
      </c>
      <c r="E172" s="262">
        <v>1</v>
      </c>
      <c r="F172" s="262">
        <v>1</v>
      </c>
      <c r="G172" s="264">
        <f t="shared" si="20"/>
        <v>1</v>
      </c>
      <c r="H172" s="264">
        <f t="shared" si="21"/>
        <v>0</v>
      </c>
      <c r="I172" s="265">
        <f t="shared" si="22"/>
        <v>0</v>
      </c>
      <c r="J172" s="265">
        <f t="shared" si="23"/>
        <v>3.0000000000000001E-3</v>
      </c>
      <c r="K172" s="211">
        <f t="shared" si="24"/>
        <v>1.7340000000000001E-2</v>
      </c>
      <c r="L172" s="166"/>
      <c r="M172" s="167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 spans="1:26" ht="12.75" customHeight="1" x14ac:dyDescent="0.3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4"/>
    </row>
    <row r="174" spans="1:26" ht="12.75" customHeight="1" x14ac:dyDescent="0.3">
      <c r="A174" s="167"/>
      <c r="B174" s="166"/>
      <c r="C174" s="303" t="s">
        <v>405</v>
      </c>
      <c r="D174" s="304"/>
      <c r="E174" s="304"/>
      <c r="F174" s="304"/>
      <c r="G174" s="304"/>
      <c r="H174" s="304"/>
      <c r="I174" s="304"/>
      <c r="J174" s="304"/>
      <c r="K174" s="305"/>
      <c r="L174" s="166"/>
      <c r="M174" s="167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 spans="1:26" ht="12.75" customHeight="1" x14ac:dyDescent="0.3">
      <c r="A175" s="167"/>
      <c r="B175" s="166"/>
      <c r="C175" s="316" t="s">
        <v>406</v>
      </c>
      <c r="D175" s="304"/>
      <c r="E175" s="304"/>
      <c r="F175" s="304"/>
      <c r="G175" s="304"/>
      <c r="H175" s="304"/>
      <c r="I175" s="304"/>
      <c r="J175" s="304"/>
      <c r="K175" s="305"/>
      <c r="L175" s="166"/>
      <c r="M175" s="167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 spans="1:26" ht="12.75" customHeight="1" x14ac:dyDescent="0.3">
      <c r="A176" s="167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7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 spans="1:26" ht="12.75" customHeight="1" x14ac:dyDescent="0.3">
      <c r="A177" s="167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7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 spans="1:26" ht="12.75" customHeight="1" x14ac:dyDescent="0.3">
      <c r="A178" s="167"/>
      <c r="B178" s="167"/>
      <c r="C178" s="168" t="s">
        <v>407</v>
      </c>
      <c r="D178" s="309" t="s">
        <v>441</v>
      </c>
      <c r="E178" s="310"/>
      <c r="F178" s="310"/>
      <c r="G178" s="310"/>
      <c r="H178" s="310"/>
      <c r="I178" s="310"/>
      <c r="J178" s="310"/>
      <c r="K178" s="310"/>
      <c r="L178" s="166"/>
      <c r="M178" s="167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 spans="1:26" ht="12.75" customHeight="1" x14ac:dyDescent="0.3">
      <c r="A179" s="169"/>
      <c r="B179" s="169"/>
      <c r="C179" s="170" t="s">
        <v>409</v>
      </c>
      <c r="D179" s="311"/>
      <c r="E179" s="312"/>
      <c r="F179" s="312"/>
      <c r="G179" s="313"/>
      <c r="H179" s="319"/>
      <c r="I179" s="315"/>
      <c r="J179" s="307"/>
      <c r="K179" s="308"/>
      <c r="L179" s="167"/>
      <c r="M179" s="167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 spans="1:26" ht="12.75" customHeight="1" x14ac:dyDescent="0.3">
      <c r="A180" s="167"/>
      <c r="B180" s="166"/>
      <c r="C180" s="171" t="s">
        <v>411</v>
      </c>
      <c r="D180" s="260">
        <v>1</v>
      </c>
      <c r="E180" s="317" t="s">
        <v>412</v>
      </c>
      <c r="F180" s="318"/>
      <c r="G180" s="172">
        <f>SUM(K183:K184)</f>
        <v>8.1733333333333338</v>
      </c>
      <c r="H180" s="314" t="s">
        <v>432</v>
      </c>
      <c r="I180" s="315"/>
      <c r="J180" s="261">
        <f>G180/D180</f>
        <v>8.1733333333333338</v>
      </c>
      <c r="K180" s="270"/>
      <c r="L180" s="166"/>
      <c r="M180" s="167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 spans="1:26" ht="12.75" customHeight="1" x14ac:dyDescent="0.3">
      <c r="A181" s="167"/>
      <c r="B181" s="174"/>
      <c r="C181" s="174"/>
      <c r="D181" s="174"/>
      <c r="E181" s="174"/>
      <c r="F181" s="174"/>
      <c r="G181" s="174"/>
      <c r="H181" s="174"/>
      <c r="I181" s="174"/>
      <c r="J181" s="166"/>
      <c r="K181" s="166"/>
      <c r="L181" s="166"/>
      <c r="M181" s="167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 spans="1:26" ht="12.75" customHeight="1" x14ac:dyDescent="0.3">
      <c r="A182" s="167"/>
      <c r="B182" s="175" t="s">
        <v>414</v>
      </c>
      <c r="C182" s="219" t="s">
        <v>415</v>
      </c>
      <c r="D182" s="219" t="s">
        <v>416</v>
      </c>
      <c r="E182" s="219" t="s">
        <v>417</v>
      </c>
      <c r="F182" s="219" t="s">
        <v>418</v>
      </c>
      <c r="G182" s="219" t="s">
        <v>419</v>
      </c>
      <c r="H182" s="219" t="s">
        <v>420</v>
      </c>
      <c r="I182" s="219" t="s">
        <v>421</v>
      </c>
      <c r="J182" s="219" t="s">
        <v>422</v>
      </c>
      <c r="K182" s="220" t="s">
        <v>423</v>
      </c>
      <c r="L182" s="166"/>
      <c r="M182" s="167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 spans="1:26" ht="12.75" customHeight="1" x14ac:dyDescent="0.3">
      <c r="A183" s="167"/>
      <c r="B183" s="192" t="s">
        <v>43</v>
      </c>
      <c r="C183" s="262">
        <v>0.8</v>
      </c>
      <c r="D183" s="263">
        <f>IF(ISNA(VLOOKUP(B183,'Listado de Artículos'!$B$16:$F$1328,5,0)),0,(VLOOKUP(B183,'Listado de Artículos'!$B$16:$F$1328,5,0)))</f>
        <v>8.9700000000000006</v>
      </c>
      <c r="E183" s="262">
        <v>1</v>
      </c>
      <c r="F183" s="262">
        <v>0.9</v>
      </c>
      <c r="G183" s="264">
        <f>IF(E183&gt;0,(F183/E183),"")</f>
        <v>0.9</v>
      </c>
      <c r="H183" s="264">
        <f>IF(E183&gt;0,(100%-G183),"")</f>
        <v>9.9999999999999978E-2</v>
      </c>
      <c r="I183" s="265">
        <f>IF(C183&gt;0,(H183*C183/G183),"")</f>
        <v>8.8888888888888878E-2</v>
      </c>
      <c r="J183" s="265">
        <f>IF(C183&gt;0,(C183+I183),"")</f>
        <v>0.88888888888888895</v>
      </c>
      <c r="K183" s="211">
        <f>IF(D183&gt;0,(D183*J183),"")</f>
        <v>7.9733333333333345</v>
      </c>
      <c r="L183" s="166"/>
      <c r="M183" s="167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 spans="1:26" ht="12.75" customHeight="1" x14ac:dyDescent="0.3">
      <c r="A184" s="167"/>
      <c r="B184" s="191" t="s">
        <v>355</v>
      </c>
      <c r="C184" s="262">
        <v>0.2</v>
      </c>
      <c r="D184" s="263">
        <f>IF(ISNA(VLOOKUP(B184,'Listado de Artículos'!$B$16:$F$1328,5,0)),0,(VLOOKUP(B184,'Listado de Artículos'!$B$16:$F$1328,5,0)))</f>
        <v>1</v>
      </c>
      <c r="E184" s="262">
        <v>1</v>
      </c>
      <c r="F184" s="262">
        <v>1</v>
      </c>
      <c r="G184" s="264">
        <f>IF(E184&gt;0,(F184/E184),"")</f>
        <v>1</v>
      </c>
      <c r="H184" s="264">
        <f>IF(E184&gt;0,(100%-G184),"")</f>
        <v>0</v>
      </c>
      <c r="I184" s="265">
        <f>IF(C184&gt;0,(H184*C184/G184),"")</f>
        <v>0</v>
      </c>
      <c r="J184" s="265">
        <f>IF(C184&gt;0,(C184+I184),"")</f>
        <v>0.2</v>
      </c>
      <c r="K184" s="211">
        <f>IF(D184&gt;0,(D184*J184),"")</f>
        <v>0.2</v>
      </c>
      <c r="L184" s="166"/>
      <c r="M184" s="167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</row>
    <row r="185" spans="1:26" ht="12.75" customHeight="1" x14ac:dyDescent="0.3">
      <c r="A185" s="164"/>
      <c r="B185" s="165"/>
      <c r="C185" s="165"/>
      <c r="D185" s="165"/>
      <c r="E185" s="165"/>
      <c r="F185" s="165"/>
      <c r="G185" s="165"/>
      <c r="H185" s="165"/>
      <c r="I185" s="165"/>
      <c r="J185" s="165"/>
      <c r="K185" s="165"/>
      <c r="L185" s="164"/>
    </row>
    <row r="186" spans="1:26" ht="12.75" customHeight="1" x14ac:dyDescent="0.3">
      <c r="A186" s="167"/>
      <c r="B186" s="166"/>
      <c r="C186" s="303" t="s">
        <v>405</v>
      </c>
      <c r="D186" s="304"/>
      <c r="E186" s="304"/>
      <c r="F186" s="304"/>
      <c r="G186" s="304"/>
      <c r="H186" s="304"/>
      <c r="I186" s="304"/>
      <c r="J186" s="304"/>
      <c r="K186" s="305"/>
      <c r="L186" s="166"/>
      <c r="M186" s="167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 spans="1:26" ht="12.75" customHeight="1" x14ac:dyDescent="0.3">
      <c r="A187" s="167"/>
      <c r="B187" s="166"/>
      <c r="C187" s="316" t="s">
        <v>406</v>
      </c>
      <c r="D187" s="304"/>
      <c r="E187" s="304"/>
      <c r="F187" s="304"/>
      <c r="G187" s="304"/>
      <c r="H187" s="304"/>
      <c r="I187" s="304"/>
      <c r="J187" s="304"/>
      <c r="K187" s="305"/>
      <c r="L187" s="166"/>
      <c r="M187" s="167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 spans="1:26" ht="12.75" customHeight="1" x14ac:dyDescent="0.3">
      <c r="A188" s="167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7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 spans="1:26" ht="12.75" customHeight="1" x14ac:dyDescent="0.3">
      <c r="A189" s="167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7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</row>
    <row r="190" spans="1:26" ht="12.75" customHeight="1" x14ac:dyDescent="0.3">
      <c r="A190" s="167"/>
      <c r="B190" s="167"/>
      <c r="C190" s="168" t="s">
        <v>407</v>
      </c>
      <c r="D190" s="309" t="s">
        <v>442</v>
      </c>
      <c r="E190" s="310"/>
      <c r="F190" s="310"/>
      <c r="G190" s="310"/>
      <c r="H190" s="310"/>
      <c r="I190" s="310"/>
      <c r="J190" s="310"/>
      <c r="K190" s="310"/>
      <c r="L190" s="166"/>
      <c r="M190" s="167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 spans="1:26" ht="12.75" customHeight="1" x14ac:dyDescent="0.3">
      <c r="A191" s="169"/>
      <c r="B191" s="169"/>
      <c r="C191" s="170" t="s">
        <v>409</v>
      </c>
      <c r="D191" s="311"/>
      <c r="E191" s="312"/>
      <c r="F191" s="312"/>
      <c r="G191" s="313"/>
      <c r="H191" s="319"/>
      <c r="I191" s="315"/>
      <c r="J191" s="307"/>
      <c r="K191" s="308"/>
      <c r="L191" s="167"/>
      <c r="M191" s="167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 spans="1:26" ht="12.75" customHeight="1" x14ac:dyDescent="0.3">
      <c r="A192" s="167"/>
      <c r="B192" s="166"/>
      <c r="C192" s="171" t="s">
        <v>411</v>
      </c>
      <c r="D192" s="260">
        <v>1</v>
      </c>
      <c r="E192" s="317" t="s">
        <v>412</v>
      </c>
      <c r="F192" s="318"/>
      <c r="G192" s="172">
        <f>SUM(K195:K198)</f>
        <v>0.75589999999999991</v>
      </c>
      <c r="H192" s="314" t="s">
        <v>432</v>
      </c>
      <c r="I192" s="315"/>
      <c r="J192" s="261">
        <f>G192/D192</f>
        <v>0.75589999999999991</v>
      </c>
      <c r="K192" s="270"/>
      <c r="L192" s="166"/>
      <c r="M192" s="167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 spans="1:26" ht="12.75" customHeight="1" x14ac:dyDescent="0.3">
      <c r="A193" s="167"/>
      <c r="B193" s="174"/>
      <c r="C193" s="174"/>
      <c r="D193" s="174"/>
      <c r="E193" s="174"/>
      <c r="F193" s="174"/>
      <c r="G193" s="174"/>
      <c r="H193" s="174"/>
      <c r="I193" s="174"/>
      <c r="J193" s="166"/>
      <c r="K193" s="166"/>
      <c r="L193" s="166"/>
      <c r="M193" s="167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 spans="1:26" ht="12.75" customHeight="1" x14ac:dyDescent="0.3">
      <c r="A194" s="167"/>
      <c r="B194" s="175" t="s">
        <v>414</v>
      </c>
      <c r="C194" s="219" t="s">
        <v>415</v>
      </c>
      <c r="D194" s="219" t="s">
        <v>416</v>
      </c>
      <c r="E194" s="219" t="s">
        <v>417</v>
      </c>
      <c r="F194" s="219" t="s">
        <v>418</v>
      </c>
      <c r="G194" s="219" t="s">
        <v>419</v>
      </c>
      <c r="H194" s="219" t="s">
        <v>420</v>
      </c>
      <c r="I194" s="219" t="s">
        <v>421</v>
      </c>
      <c r="J194" s="219" t="s">
        <v>422</v>
      </c>
      <c r="K194" s="220" t="s">
        <v>423</v>
      </c>
      <c r="L194" s="166"/>
      <c r="M194" s="167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 spans="1:26" ht="12.75" customHeight="1" x14ac:dyDescent="0.3">
      <c r="A195" s="167"/>
      <c r="B195" s="192" t="s">
        <v>341</v>
      </c>
      <c r="C195" s="262">
        <v>0.05</v>
      </c>
      <c r="D195" s="263">
        <f>IF(ISNA(VLOOKUP(B195,'Listado de Artículos'!$B$16:$F$1328,5,0)),0,(VLOOKUP(B195,'Listado de Artículos'!$B$16:$F$1328,5,0)))</f>
        <v>8.4499999999999993</v>
      </c>
      <c r="E195" s="262">
        <v>1</v>
      </c>
      <c r="F195" s="262">
        <v>1</v>
      </c>
      <c r="G195" s="264">
        <f>IF(E195&gt;0,(F195/E195),"")</f>
        <v>1</v>
      </c>
      <c r="H195" s="264">
        <f>IF(E195&gt;0,(100%-G195),"")</f>
        <v>0</v>
      </c>
      <c r="I195" s="265">
        <f>IF(C195&gt;0,(H195*C195/G195),"")</f>
        <v>0</v>
      </c>
      <c r="J195" s="265">
        <f>IF(C195&gt;0,(C195+I195),"")</f>
        <v>0.05</v>
      </c>
      <c r="K195" s="211">
        <f>IF(D195&gt;0,(D195*J195),"")</f>
        <v>0.42249999999999999</v>
      </c>
      <c r="L195" s="166"/>
      <c r="M195" s="167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 spans="1:26" ht="12.75" customHeight="1" x14ac:dyDescent="0.3">
      <c r="A196" s="167"/>
      <c r="B196" s="191" t="s">
        <v>57</v>
      </c>
      <c r="C196" s="262">
        <v>0.02</v>
      </c>
      <c r="D196" s="263">
        <f>IF(ISNA(VLOOKUP(B196,'Listado de Artículos'!$B$16:$F$1328,5,0)),0,(VLOOKUP(B196,'Listado de Artículos'!$B$16:$F$1328,5,0)))</f>
        <v>2</v>
      </c>
      <c r="E196" s="262">
        <v>1</v>
      </c>
      <c r="F196" s="262">
        <v>1</v>
      </c>
      <c r="G196" s="264">
        <f>IF(E196&gt;0,(F196/E196),"")</f>
        <v>1</v>
      </c>
      <c r="H196" s="264">
        <f>IF(E196&gt;0,(100%-G196),"")</f>
        <v>0</v>
      </c>
      <c r="I196" s="265">
        <f>IF(C196&gt;0,(H196*C196/G196),"")</f>
        <v>0</v>
      </c>
      <c r="J196" s="265">
        <f>IF(C196&gt;0,(C196+I196),"")</f>
        <v>0.02</v>
      </c>
      <c r="K196" s="211">
        <f>IF(D196&gt;0,(D196*J196),"")</f>
        <v>0.04</v>
      </c>
      <c r="L196" s="166"/>
      <c r="M196" s="167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</row>
    <row r="197" spans="1:26" ht="12.75" customHeight="1" x14ac:dyDescent="0.3">
      <c r="A197" s="167"/>
      <c r="B197" s="177" t="s">
        <v>43</v>
      </c>
      <c r="C197" s="262">
        <v>0.02</v>
      </c>
      <c r="D197" s="263">
        <f>IF(ISNA(VLOOKUP(B197,'Listado de Artículos'!$B$16:$F$1328,5,0)),0,(VLOOKUP(B197,'Listado de Artículos'!$B$16:$F$1328,5,0)))</f>
        <v>8.9700000000000006</v>
      </c>
      <c r="E197" s="262">
        <v>1</v>
      </c>
      <c r="F197" s="262">
        <v>1</v>
      </c>
      <c r="G197" s="264">
        <f>IF(E197&gt;0,(F197/E197),"")</f>
        <v>1</v>
      </c>
      <c r="H197" s="264">
        <f>IF(E197&gt;0,(100%-G197),"")</f>
        <v>0</v>
      </c>
      <c r="I197" s="265">
        <f>IF(C197&gt;0,(H197*C197/G197),"")</f>
        <v>0</v>
      </c>
      <c r="J197" s="265">
        <f>IF(C197&gt;0,(C197+I197),"")</f>
        <v>0.02</v>
      </c>
      <c r="K197" s="211">
        <f>IF(D197&gt;0,(D197*J197),"")</f>
        <v>0.1794</v>
      </c>
      <c r="L197" s="166"/>
      <c r="M197" s="167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 spans="1:26" ht="12.75" customHeight="1" x14ac:dyDescent="0.3">
      <c r="A198" s="167"/>
      <c r="B198" s="177" t="s">
        <v>272</v>
      </c>
      <c r="C198" s="262">
        <v>0.04</v>
      </c>
      <c r="D198" s="263">
        <f>IF(ISNA(VLOOKUP(B198,'Listado de Artículos'!$B$16:$F$1328,5,0)),0,(VLOOKUP(B198,'Listado de Artículos'!$B$16:$F$1328,5,0)))</f>
        <v>2.85</v>
      </c>
      <c r="E198" s="262">
        <v>1</v>
      </c>
      <c r="F198" s="262">
        <v>1</v>
      </c>
      <c r="G198" s="264">
        <f>IF(E198&gt;0,(F198/E198),"")</f>
        <v>1</v>
      </c>
      <c r="H198" s="264">
        <f>IF(E198&gt;0,(100%-G198),"")</f>
        <v>0</v>
      </c>
      <c r="I198" s="265">
        <f>IF(C198&gt;0,(H198*C198/G198),"")</f>
        <v>0</v>
      </c>
      <c r="J198" s="265">
        <f>IF(C198&gt;0,(C198+I198),"")</f>
        <v>0.04</v>
      </c>
      <c r="K198" s="211">
        <f>IF(D198&gt;0,(D198*J198),"")</f>
        <v>0.114</v>
      </c>
      <c r="L198" s="166"/>
      <c r="M198" s="167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 spans="1:26" ht="12.75" customHeight="1" x14ac:dyDescent="0.3">
      <c r="A199" s="164"/>
      <c r="B199" s="165"/>
      <c r="C199" s="165"/>
      <c r="D199" s="165"/>
      <c r="E199" s="165"/>
      <c r="F199" s="165"/>
      <c r="G199" s="165"/>
      <c r="H199" s="165"/>
      <c r="I199" s="165"/>
      <c r="J199" s="165"/>
      <c r="K199" s="165"/>
      <c r="L199" s="164"/>
    </row>
    <row r="200" spans="1:26" ht="12.75" customHeight="1" x14ac:dyDescent="0.3">
      <c r="A200" s="167"/>
      <c r="B200" s="166"/>
      <c r="C200" s="303" t="s">
        <v>405</v>
      </c>
      <c r="D200" s="304"/>
      <c r="E200" s="304"/>
      <c r="F200" s="304"/>
      <c r="G200" s="304"/>
      <c r="H200" s="304"/>
      <c r="I200" s="304"/>
      <c r="J200" s="304"/>
      <c r="K200" s="305"/>
      <c r="L200" s="166"/>
      <c r="M200" s="167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 spans="1:26" ht="12.75" customHeight="1" x14ac:dyDescent="0.3">
      <c r="A201" s="167"/>
      <c r="B201" s="166"/>
      <c r="C201" s="316" t="s">
        <v>406</v>
      </c>
      <c r="D201" s="304"/>
      <c r="E201" s="304"/>
      <c r="F201" s="304"/>
      <c r="G201" s="304"/>
      <c r="H201" s="304"/>
      <c r="I201" s="304"/>
      <c r="J201" s="304"/>
      <c r="K201" s="305"/>
      <c r="L201" s="166"/>
      <c r="M201" s="167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</row>
    <row r="202" spans="1:26" ht="12.75" customHeight="1" x14ac:dyDescent="0.3">
      <c r="A202" s="167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7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 spans="1:26" ht="12.75" customHeight="1" x14ac:dyDescent="0.3">
      <c r="A203" s="167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7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 spans="1:26" ht="12.75" customHeight="1" x14ac:dyDescent="0.3">
      <c r="A204" s="167"/>
      <c r="B204" s="167"/>
      <c r="C204" s="168" t="s">
        <v>407</v>
      </c>
      <c r="D204" s="309"/>
      <c r="E204" s="310"/>
      <c r="F204" s="310"/>
      <c r="G204" s="310"/>
      <c r="H204" s="310"/>
      <c r="I204" s="310"/>
      <c r="J204" s="310"/>
      <c r="K204" s="310"/>
      <c r="L204" s="166"/>
      <c r="M204" s="167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 spans="1:26" ht="12.75" customHeight="1" x14ac:dyDescent="0.3">
      <c r="A205" s="169"/>
      <c r="B205" s="169"/>
      <c r="C205" s="170" t="s">
        <v>409</v>
      </c>
      <c r="D205" s="311"/>
      <c r="E205" s="312"/>
      <c r="F205" s="312"/>
      <c r="G205" s="313"/>
      <c r="H205" s="319"/>
      <c r="I205" s="315"/>
      <c r="J205" s="307"/>
      <c r="K205" s="308"/>
      <c r="L205" s="167"/>
      <c r="M205" s="167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 spans="1:26" ht="12.75" customHeight="1" x14ac:dyDescent="0.3">
      <c r="A206" s="167"/>
      <c r="B206" s="166"/>
      <c r="C206" s="171" t="s">
        <v>411</v>
      </c>
      <c r="D206" s="260">
        <v>1</v>
      </c>
      <c r="E206" s="317" t="s">
        <v>412</v>
      </c>
      <c r="F206" s="318"/>
      <c r="G206" s="172">
        <f>SUM(K209:K212)</f>
        <v>0.75589999999999991</v>
      </c>
      <c r="H206" s="314" t="s">
        <v>432</v>
      </c>
      <c r="I206" s="315"/>
      <c r="J206" s="261">
        <f>G206/D206</f>
        <v>0.75589999999999991</v>
      </c>
      <c r="K206" s="270"/>
      <c r="L206" s="166"/>
      <c r="M206" s="167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 spans="1:26" ht="12.75" customHeight="1" x14ac:dyDescent="0.3">
      <c r="A207" s="167"/>
      <c r="B207" s="174"/>
      <c r="C207" s="174"/>
      <c r="D207" s="174"/>
      <c r="E207" s="174"/>
      <c r="F207" s="174"/>
      <c r="G207" s="174"/>
      <c r="H207" s="174"/>
      <c r="I207" s="174"/>
      <c r="J207" s="166"/>
      <c r="K207" s="166"/>
      <c r="L207" s="166"/>
      <c r="M207" s="167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 spans="1:26" ht="12.75" customHeight="1" x14ac:dyDescent="0.3">
      <c r="A208" s="167"/>
      <c r="B208" s="175" t="s">
        <v>414</v>
      </c>
      <c r="C208" s="219" t="s">
        <v>415</v>
      </c>
      <c r="D208" s="219" t="s">
        <v>416</v>
      </c>
      <c r="E208" s="219" t="s">
        <v>417</v>
      </c>
      <c r="F208" s="219" t="s">
        <v>418</v>
      </c>
      <c r="G208" s="219" t="s">
        <v>419</v>
      </c>
      <c r="H208" s="219" t="s">
        <v>420</v>
      </c>
      <c r="I208" s="219" t="s">
        <v>421</v>
      </c>
      <c r="J208" s="219" t="s">
        <v>422</v>
      </c>
      <c r="K208" s="220" t="s">
        <v>423</v>
      </c>
      <c r="L208" s="166"/>
      <c r="M208" s="167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 spans="1:26" ht="12.75" customHeight="1" x14ac:dyDescent="0.3">
      <c r="A209" s="167"/>
      <c r="B209" s="192" t="s">
        <v>341</v>
      </c>
      <c r="C209" s="262">
        <v>0.05</v>
      </c>
      <c r="D209" s="263">
        <f>IF(ISNA(VLOOKUP(B209,'Listado de Artículos'!$B$16:$F$1328,5,0)),0,(VLOOKUP(B209,'Listado de Artículos'!$B$16:$F$1328,5,0)))</f>
        <v>8.4499999999999993</v>
      </c>
      <c r="E209" s="262">
        <v>1</v>
      </c>
      <c r="F209" s="262">
        <v>1</v>
      </c>
      <c r="G209" s="264">
        <f>IF(E209&gt;0,(F209/E209),"")</f>
        <v>1</v>
      </c>
      <c r="H209" s="264">
        <f>IF(E209&gt;0,(100%-G209),"")</f>
        <v>0</v>
      </c>
      <c r="I209" s="265">
        <f>IF(C209&gt;0,(H209*C209/G209),"")</f>
        <v>0</v>
      </c>
      <c r="J209" s="265">
        <f>IF(C209&gt;0,(C209+I209),"")</f>
        <v>0.05</v>
      </c>
      <c r="K209" s="211">
        <f>IF(D209&gt;0,(D209*J209),"")</f>
        <v>0.42249999999999999</v>
      </c>
      <c r="L209" s="166"/>
      <c r="M209" s="167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 spans="1:26" ht="12.75" customHeight="1" x14ac:dyDescent="0.3">
      <c r="A210" s="167"/>
      <c r="B210" s="191" t="s">
        <v>57</v>
      </c>
      <c r="C210" s="262">
        <v>0.02</v>
      </c>
      <c r="D210" s="263">
        <f>IF(ISNA(VLOOKUP(B210,'Listado de Artículos'!$B$16:$F$1328,5,0)),0,(VLOOKUP(B210,'Listado de Artículos'!$B$16:$F$1328,5,0)))</f>
        <v>2</v>
      </c>
      <c r="E210" s="262">
        <v>1</v>
      </c>
      <c r="F210" s="262">
        <v>1</v>
      </c>
      <c r="G210" s="264">
        <f>IF(E210&gt;0,(F210/E210),"")</f>
        <v>1</v>
      </c>
      <c r="H210" s="264">
        <f>IF(E210&gt;0,(100%-G210),"")</f>
        <v>0</v>
      </c>
      <c r="I210" s="265">
        <f>IF(C210&gt;0,(H210*C210/G210),"")</f>
        <v>0</v>
      </c>
      <c r="J210" s="265">
        <f>IF(C210&gt;0,(C210+I210),"")</f>
        <v>0.02</v>
      </c>
      <c r="K210" s="211">
        <f>IF(D210&gt;0,(D210*J210),"")</f>
        <v>0.04</v>
      </c>
      <c r="L210" s="166"/>
      <c r="M210" s="167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</row>
    <row r="211" spans="1:26" ht="12.75" customHeight="1" x14ac:dyDescent="0.3">
      <c r="A211" s="167"/>
      <c r="B211" s="177" t="s">
        <v>43</v>
      </c>
      <c r="C211" s="262">
        <v>0.02</v>
      </c>
      <c r="D211" s="263">
        <f>IF(ISNA(VLOOKUP(B211,'Listado de Artículos'!$B$16:$F$1328,5,0)),0,(VLOOKUP(B211,'Listado de Artículos'!$B$16:$F$1328,5,0)))</f>
        <v>8.9700000000000006</v>
      </c>
      <c r="E211" s="262">
        <v>1</v>
      </c>
      <c r="F211" s="262">
        <v>1</v>
      </c>
      <c r="G211" s="264">
        <f>IF(E211&gt;0,(F211/E211),"")</f>
        <v>1</v>
      </c>
      <c r="H211" s="264">
        <f>IF(E211&gt;0,(100%-G211),"")</f>
        <v>0</v>
      </c>
      <c r="I211" s="265">
        <f>IF(C211&gt;0,(H211*C211/G211),"")</f>
        <v>0</v>
      </c>
      <c r="J211" s="265">
        <f>IF(C211&gt;0,(C211+I211),"")</f>
        <v>0.02</v>
      </c>
      <c r="K211" s="211">
        <f>IF(D211&gt;0,(D211*J211),"")</f>
        <v>0.1794</v>
      </c>
      <c r="L211" s="166"/>
      <c r="M211" s="167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 spans="1:26" ht="12.75" customHeight="1" x14ac:dyDescent="0.3">
      <c r="A212" s="167"/>
      <c r="B212" s="177" t="s">
        <v>272</v>
      </c>
      <c r="C212" s="262">
        <v>0.04</v>
      </c>
      <c r="D212" s="263">
        <f>IF(ISNA(VLOOKUP(B212,'Listado de Artículos'!$B$16:$F$1328,5,0)),0,(VLOOKUP(B212,'Listado de Artículos'!$B$16:$F$1328,5,0)))</f>
        <v>2.85</v>
      </c>
      <c r="E212" s="262">
        <v>1</v>
      </c>
      <c r="F212" s="262">
        <v>1</v>
      </c>
      <c r="G212" s="264">
        <f>IF(E212&gt;0,(F212/E212),"")</f>
        <v>1</v>
      </c>
      <c r="H212" s="264">
        <f>IF(E212&gt;0,(100%-G212),"")</f>
        <v>0</v>
      </c>
      <c r="I212" s="265">
        <f>IF(C212&gt;0,(H212*C212/G212),"")</f>
        <v>0</v>
      </c>
      <c r="J212" s="265">
        <f>IF(C212&gt;0,(C212+I212),"")</f>
        <v>0.04</v>
      </c>
      <c r="K212" s="211">
        <f>IF(D212&gt;0,(D212*J212),"")</f>
        <v>0.114</v>
      </c>
      <c r="L212" s="166"/>
      <c r="M212" s="167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 spans="1:26" ht="21.75" customHeight="1" x14ac:dyDescent="0.3">
      <c r="A213" s="167"/>
      <c r="B213" s="174"/>
      <c r="C213" s="306"/>
      <c r="D213" s="304"/>
      <c r="E213" s="304"/>
      <c r="F213" s="304"/>
      <c r="G213" s="304"/>
      <c r="H213" s="304"/>
      <c r="I213" s="304"/>
      <c r="J213" s="166"/>
      <c r="K213" s="166"/>
      <c r="L213" s="166"/>
      <c r="M213" s="167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 spans="1:26" ht="12.75" customHeight="1" x14ac:dyDescent="0.25"/>
    <row r="215" spans="1:26" ht="12.75" customHeight="1" x14ac:dyDescent="0.25"/>
    <row r="216" spans="1:26" ht="12.75" customHeight="1" x14ac:dyDescent="0.25"/>
    <row r="217" spans="1:26" ht="12.75" customHeight="1" x14ac:dyDescent="0.25"/>
    <row r="218" spans="1:26" ht="12.75" customHeight="1" x14ac:dyDescent="0.25"/>
    <row r="219" spans="1:26" ht="12.75" customHeight="1" x14ac:dyDescent="0.25"/>
    <row r="220" spans="1:26" ht="12.75" customHeight="1" x14ac:dyDescent="0.25"/>
    <row r="221" spans="1:26" ht="12.75" customHeight="1" x14ac:dyDescent="0.25"/>
    <row r="222" spans="1:26" ht="12.75" customHeight="1" x14ac:dyDescent="0.25"/>
    <row r="223" spans="1:26" ht="12.75" customHeight="1" x14ac:dyDescent="0.25"/>
    <row r="224" spans="1:26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</sheetData>
  <mergeCells count="108">
    <mergeCell ref="C213:I213"/>
    <mergeCell ref="C186:K186"/>
    <mergeCell ref="E75:F75"/>
    <mergeCell ref="D122:K122"/>
    <mergeCell ref="D144:K144"/>
    <mergeCell ref="H123:I123"/>
    <mergeCell ref="H8:I8"/>
    <mergeCell ref="C119:K119"/>
    <mergeCell ref="C100:K100"/>
    <mergeCell ref="D190:K190"/>
    <mergeCell ref="C4:K4"/>
    <mergeCell ref="E192:F192"/>
    <mergeCell ref="C155:K155"/>
    <mergeCell ref="H59:I59"/>
    <mergeCell ref="E106:F106"/>
    <mergeCell ref="C36:K36"/>
    <mergeCell ref="C85:K85"/>
    <mergeCell ref="D159:K159"/>
    <mergeCell ref="J8:K8"/>
    <mergeCell ref="H23:I23"/>
    <mergeCell ref="H106:I106"/>
    <mergeCell ref="C3:K3"/>
    <mergeCell ref="J41:K41"/>
    <mergeCell ref="H75:I75"/>
    <mergeCell ref="C200:K200"/>
    <mergeCell ref="E146:F146"/>
    <mergeCell ref="D7:K7"/>
    <mergeCell ref="D104:K104"/>
    <mergeCell ref="D21:K21"/>
    <mergeCell ref="D40:K40"/>
    <mergeCell ref="J74:K74"/>
    <mergeCell ref="C37:K37"/>
    <mergeCell ref="E42:F42"/>
    <mergeCell ref="H22:I22"/>
    <mergeCell ref="E180:F180"/>
    <mergeCell ref="H74:I74"/>
    <mergeCell ref="C70:K70"/>
    <mergeCell ref="D123:G123"/>
    <mergeCell ref="H91:I91"/>
    <mergeCell ref="D191:G191"/>
    <mergeCell ref="C187:K187"/>
    <mergeCell ref="D8:G8"/>
    <mergeCell ref="J123:K123"/>
    <mergeCell ref="C53:K53"/>
    <mergeCell ref="J191:K191"/>
    <mergeCell ref="E206:F206"/>
    <mergeCell ref="H90:I90"/>
    <mergeCell ref="E23:F23"/>
    <mergeCell ref="H41:I41"/>
    <mergeCell ref="C69:K69"/>
    <mergeCell ref="C18:K18"/>
    <mergeCell ref="D89:K89"/>
    <mergeCell ref="H58:I58"/>
    <mergeCell ref="D74:G74"/>
    <mergeCell ref="D57:K57"/>
    <mergeCell ref="C54:K54"/>
    <mergeCell ref="D204:K204"/>
    <mergeCell ref="H205:I205"/>
    <mergeCell ref="D205:G205"/>
    <mergeCell ref="H146:I146"/>
    <mergeCell ref="D178:K178"/>
    <mergeCell ref="H42:I42"/>
    <mergeCell ref="E161:F161"/>
    <mergeCell ref="J205:K205"/>
    <mergeCell ref="H206:I206"/>
    <mergeCell ref="H191:I191"/>
    <mergeCell ref="E124:F124"/>
    <mergeCell ref="D105:G105"/>
    <mergeCell ref="E9:F9"/>
    <mergeCell ref="C201:K201"/>
    <mergeCell ref="J145:K145"/>
    <mergeCell ref="C86:K86"/>
    <mergeCell ref="H179:I179"/>
    <mergeCell ref="H160:I160"/>
    <mergeCell ref="D41:G41"/>
    <mergeCell ref="C156:K156"/>
    <mergeCell ref="E91:F91"/>
    <mergeCell ref="J22:K22"/>
    <mergeCell ref="E59:F59"/>
    <mergeCell ref="J90:K90"/>
    <mergeCell ref="D58:G58"/>
    <mergeCell ref="H145:I145"/>
    <mergeCell ref="H105:I105"/>
    <mergeCell ref="C141:K141"/>
    <mergeCell ref="J179:K179"/>
    <mergeCell ref="H124:I124"/>
    <mergeCell ref="C17:K17"/>
    <mergeCell ref="H9:I9"/>
    <mergeCell ref="D179:G179"/>
    <mergeCell ref="C175:K175"/>
    <mergeCell ref="J160:K160"/>
    <mergeCell ref="H180:I180"/>
    <mergeCell ref="J58:K58"/>
    <mergeCell ref="D145:G145"/>
    <mergeCell ref="H192:I192"/>
    <mergeCell ref="D22:G22"/>
    <mergeCell ref="C101:K101"/>
    <mergeCell ref="C174:K174"/>
    <mergeCell ref="C34:I34"/>
    <mergeCell ref="C15:I15"/>
    <mergeCell ref="J105:K105"/>
    <mergeCell ref="D73:K73"/>
    <mergeCell ref="D90:G90"/>
    <mergeCell ref="C51:I51"/>
    <mergeCell ref="H161:I161"/>
    <mergeCell ref="D160:G160"/>
    <mergeCell ref="C140:K140"/>
    <mergeCell ref="C118:K118"/>
  </mergeCells>
  <dataValidations count="1">
    <dataValidation type="list" allowBlank="1" showErrorMessage="1" sqref="B12:B14 B26:B33 B45:B50 B62:B67 B78:B83 B94:B98 B109:B115 B127:B138 B149:B153 B164:B172 B183:B184 B195:B198 B209:B212">
      <formula1>Articulo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994"/>
  <sheetViews>
    <sheetView workbookViewId="0"/>
  </sheetViews>
  <sheetFormatPr baseColWidth="10" defaultColWidth="12.6640625" defaultRowHeight="15" customHeight="1" x14ac:dyDescent="0.25"/>
  <cols>
    <col min="1" max="1" width="90.6640625" style="302" customWidth="1"/>
    <col min="2" max="2" width="54" style="302" customWidth="1"/>
    <col min="3" max="5" width="11.33203125" style="302" customWidth="1"/>
    <col min="6" max="6" width="12.21875" style="302" customWidth="1"/>
    <col min="7" max="7" width="14.21875" style="302" customWidth="1"/>
    <col min="8" max="12" width="11.33203125" style="302" customWidth="1"/>
    <col min="13" max="26" width="8.6640625" style="302" customWidth="1"/>
  </cols>
  <sheetData>
    <row r="1" spans="1:12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12" ht="12.75" customHeight="1" x14ac:dyDescent="0.25">
      <c r="A2" s="322" t="s">
        <v>443</v>
      </c>
      <c r="B2" s="323"/>
      <c r="C2" s="323"/>
      <c r="D2" s="323"/>
      <c r="E2" s="323"/>
      <c r="F2" s="324"/>
    </row>
    <row r="3" spans="1:12" ht="12.75" customHeight="1" x14ac:dyDescent="0.25">
      <c r="A3" s="325"/>
      <c r="B3" s="326"/>
      <c r="C3" s="326"/>
      <c r="D3" s="326"/>
      <c r="E3" s="326"/>
      <c r="F3" s="327"/>
    </row>
    <row r="4" spans="1:12" ht="12.75" customHeight="1" x14ac:dyDescent="0.3">
      <c r="A4" s="196" t="s">
        <v>444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2" ht="12.75" customHeight="1" x14ac:dyDescent="0.3">
      <c r="A5" s="198" t="s">
        <v>449</v>
      </c>
      <c r="B5" s="279" t="s">
        <v>450</v>
      </c>
      <c r="C5" s="280" t="s">
        <v>451</v>
      </c>
      <c r="D5" s="199" t="s">
        <v>452</v>
      </c>
      <c r="E5" s="281"/>
    </row>
    <row r="6" spans="1:12" ht="12.75" customHeight="1" x14ac:dyDescent="0.3">
      <c r="A6" s="204" t="s">
        <v>394</v>
      </c>
      <c r="B6" s="262">
        <v>1</v>
      </c>
      <c r="C6" s="263">
        <f>IF(ISNA(VLOOKUP(A6,'Listado de Artículos'!$B$16:$F$1328,5,0)),0,(VLOOKUP(A6,'Listado de Artículos'!$B$16:$F$1328,5,0)))</f>
        <v>1.64975</v>
      </c>
      <c r="D6" s="211">
        <f>B6*C6</f>
        <v>1.64975</v>
      </c>
      <c r="E6" s="281"/>
    </row>
    <row r="7" spans="1:12" ht="12.75" customHeight="1" x14ac:dyDescent="0.3">
      <c r="A7" s="204" t="s">
        <v>396</v>
      </c>
      <c r="B7" s="262">
        <v>1</v>
      </c>
      <c r="C7" s="263">
        <f>IF(ISNA(VLOOKUP(A7,'Listado de Artículos'!$B$16:$F$1328,5,0)),0,(VLOOKUP(A7,'Listado de Artículos'!$B$16:$F$1328,5,0)))</f>
        <v>1.7053750000000001</v>
      </c>
      <c r="D7" s="211">
        <f>B7*C7</f>
        <v>1.7053750000000001</v>
      </c>
      <c r="E7" s="281"/>
    </row>
    <row r="8" spans="1:12" ht="12.75" customHeight="1" x14ac:dyDescent="0.3">
      <c r="A8" s="204" t="s">
        <v>397</v>
      </c>
      <c r="B8" s="262">
        <v>1</v>
      </c>
      <c r="C8" s="263">
        <f>IF(ISNA(VLOOKUP(A8,'Listado de Artículos'!$B$16:$F$1328,5,0)),0,(VLOOKUP(A8,'Listado de Artículos'!$B$16:$F$1328,5,0)))</f>
        <v>1.2956875000000001</v>
      </c>
      <c r="D8" s="211">
        <f>B8*C8</f>
        <v>1.2956875000000001</v>
      </c>
      <c r="E8" s="281"/>
    </row>
    <row r="9" spans="1:12" ht="12.75" customHeight="1" x14ac:dyDescent="0.3">
      <c r="A9" s="204" t="s">
        <v>398</v>
      </c>
      <c r="B9" s="271">
        <v>1</v>
      </c>
      <c r="C9" s="263">
        <f>IF(ISNA(VLOOKUP(A9,'Listado de Artículos'!$B$16:$F$1328,5,0)),0,(VLOOKUP(A9,'Listado de Artículos'!$B$16:$F$1328,5,0)))</f>
        <v>0.54694999999999994</v>
      </c>
      <c r="D9" s="181">
        <f>B9*C9</f>
        <v>0.54694999999999994</v>
      </c>
      <c r="E9" s="282"/>
    </row>
    <row r="10" spans="1:12" ht="12.75" customHeight="1" x14ac:dyDescent="0.3">
      <c r="A10" s="200" t="s">
        <v>453</v>
      </c>
      <c r="B10" s="201"/>
      <c r="C10" s="202"/>
      <c r="D10" s="202"/>
      <c r="E10" s="203"/>
    </row>
    <row r="11" spans="1:12" ht="12.75" customHeight="1" x14ac:dyDescent="0.3">
      <c r="A11" s="204" t="s">
        <v>175</v>
      </c>
      <c r="B11" s="262">
        <v>1</v>
      </c>
      <c r="C11" s="263">
        <f>IF(ISNA(VLOOKUP(A11,'Listado de Artículos'!$B$16:$F$1328,5,0)),0,(VLOOKUP(A11,'Listado de Artículos'!$B$16:$F$1328,5,0)))</f>
        <v>0.7</v>
      </c>
      <c r="D11" s="211">
        <f>B11*C11</f>
        <v>0.7</v>
      </c>
      <c r="E11" s="281"/>
    </row>
    <row r="12" spans="1:12" ht="12.75" customHeight="1" x14ac:dyDescent="0.3">
      <c r="A12" s="204" t="s">
        <v>230</v>
      </c>
      <c r="B12" s="262">
        <v>1</v>
      </c>
      <c r="C12" s="263">
        <f>IF(ISNA(VLOOKUP(A12,'Listado de Artículos'!$B$16:$F$1328,5,0)),0,(VLOOKUP(A12,'Listado de Artículos'!$B$16:$F$1328,5,0)))</f>
        <v>0.54</v>
      </c>
      <c r="D12" s="211">
        <f>B12*C12</f>
        <v>0.54</v>
      </c>
      <c r="E12" s="281"/>
    </row>
    <row r="13" spans="1:12" ht="12.75" customHeight="1" x14ac:dyDescent="0.3">
      <c r="A13" s="204" t="s">
        <v>399</v>
      </c>
      <c r="B13" s="262">
        <v>1</v>
      </c>
      <c r="C13" s="263">
        <f>IF(ISNA(VLOOKUP(A13,'Listado de Artículos'!$B$16:$F$1328,5,0)),0,(VLOOKUP(A13,'Listado de Artículos'!$B$16:$F$1328,5,0)))</f>
        <v>5.4202599999999999</v>
      </c>
      <c r="D13" s="211">
        <f>B13*C13</f>
        <v>5.4202599999999999</v>
      </c>
      <c r="E13" s="281"/>
    </row>
    <row r="14" spans="1:12" ht="12.75" customHeight="1" x14ac:dyDescent="0.3">
      <c r="A14" s="204" t="s">
        <v>320</v>
      </c>
      <c r="B14" s="262">
        <v>0.03</v>
      </c>
      <c r="C14" s="263">
        <f>IF(ISNA(VLOOKUP(A14,'Listado de Artículos'!$B$16:$F$1328,5,0)),0,(VLOOKUP(A14,'Listado de Artículos'!$B$16:$F$1328,5,0)))</f>
        <v>3.85</v>
      </c>
      <c r="D14" s="211">
        <f>B14*C14</f>
        <v>0.11549999999999999</v>
      </c>
      <c r="E14" s="281"/>
    </row>
    <row r="15" spans="1:12" ht="12.75" customHeight="1" x14ac:dyDescent="0.3">
      <c r="A15" s="200" t="s">
        <v>454</v>
      </c>
      <c r="B15" s="201"/>
      <c r="C15" s="202"/>
      <c r="D15" s="202"/>
      <c r="E15" s="203"/>
    </row>
    <row r="16" spans="1:12" ht="12.75" customHeight="1" x14ac:dyDescent="0.3">
      <c r="A16" s="204" t="s">
        <v>179</v>
      </c>
      <c r="B16" s="262">
        <v>1</v>
      </c>
      <c r="C16" s="263">
        <f>IF(ISNA(VLOOKUP(A16,'Listado de Artículos'!$B$16:$F$1328,5,0)),0,(VLOOKUP(A16,'Listado de Artículos'!$B$16:$F$1328,5,0)))</f>
        <v>0.5</v>
      </c>
      <c r="D16" s="211">
        <f>B16*C16</f>
        <v>0.5</v>
      </c>
      <c r="E16" s="281"/>
    </row>
    <row r="17" spans="1:8" ht="12.75" customHeight="1" x14ac:dyDescent="0.3">
      <c r="A17" s="204"/>
      <c r="B17" s="262"/>
      <c r="C17" s="263"/>
      <c r="D17" s="211"/>
      <c r="E17" s="281"/>
    </row>
    <row r="18" spans="1:8" ht="12.75" customHeight="1" x14ac:dyDescent="0.3">
      <c r="A18" s="200" t="s">
        <v>454</v>
      </c>
      <c r="B18" s="201"/>
      <c r="C18" s="202"/>
      <c r="D18" s="202"/>
      <c r="E18" s="203"/>
    </row>
    <row r="19" spans="1:8" ht="12.75" customHeight="1" x14ac:dyDescent="0.3">
      <c r="A19" s="204" t="s">
        <v>156</v>
      </c>
      <c r="B19" s="262">
        <v>0.25</v>
      </c>
      <c r="C19" s="263">
        <f>IF(ISNA(VLOOKUP(A19,'Listado de Artículos'!$B$16:$F$1328,5,0)),0,(VLOOKUP(A19,'Listado de Artículos'!$B$16:$F$1328,5,0)))</f>
        <v>0.9</v>
      </c>
      <c r="D19" s="211">
        <f>B19*C19</f>
        <v>0.22500000000000001</v>
      </c>
      <c r="E19" s="281"/>
    </row>
    <row r="20" spans="1:8" ht="12.75" customHeight="1" x14ac:dyDescent="0.3">
      <c r="A20" s="204" t="s">
        <v>48</v>
      </c>
      <c r="B20" s="262">
        <v>0.5</v>
      </c>
      <c r="C20" s="263">
        <f>IF(ISNA(VLOOKUP(A20,'Listado de Artículos'!$B$16:$F$1328,5,0)),0,(VLOOKUP(A20,'Listado de Artículos'!$B$16:$F$1328,5,0)))</f>
        <v>0.8</v>
      </c>
      <c r="D20" s="211">
        <f>B20*C20</f>
        <v>0.4</v>
      </c>
      <c r="E20" s="281"/>
    </row>
    <row r="21" spans="1:8" ht="12.75" customHeight="1" x14ac:dyDescent="0.3">
      <c r="A21" s="204" t="s">
        <v>123</v>
      </c>
      <c r="B21" s="262">
        <v>1</v>
      </c>
      <c r="C21" s="263">
        <f>IF(ISNA(VLOOKUP(A21,'Listado de Artículos'!$B$16:$F$1328,5,0)),0,(VLOOKUP(A21,'Listado de Artículos'!$B$16:$F$1328,5,0)))</f>
        <v>0.65</v>
      </c>
      <c r="D21" s="211">
        <f>B21*C21</f>
        <v>0.65</v>
      </c>
      <c r="E21" s="281"/>
    </row>
    <row r="22" spans="1:8" ht="12.75" customHeight="1" x14ac:dyDescent="0.3">
      <c r="A22" s="204"/>
      <c r="B22" s="262">
        <v>0.3</v>
      </c>
      <c r="C22" s="263">
        <f>IF(ISNA(VLOOKUP(A22,'Listado de Artículos'!$B$16:$F$1328,5,0)),0,(VLOOKUP(A22,'Listado de Artículos'!$B$16:$F$1328,5,0)))</f>
        <v>0</v>
      </c>
      <c r="D22" s="211">
        <f>B22*C22</f>
        <v>0</v>
      </c>
      <c r="E22" s="281"/>
    </row>
    <row r="23" spans="1:8" ht="12.75" customHeight="1" x14ac:dyDescent="0.3">
      <c r="A23" s="204"/>
      <c r="B23" s="283"/>
      <c r="C23" s="284"/>
      <c r="D23" s="285"/>
      <c r="E23" s="281"/>
    </row>
    <row r="24" spans="1:8" ht="12.75" customHeight="1" x14ac:dyDescent="0.3">
      <c r="A24" s="205" t="s">
        <v>455</v>
      </c>
      <c r="B24" s="286">
        <v>46</v>
      </c>
      <c r="C24" s="287">
        <f>B24/1.1</f>
        <v>41.818181818181813</v>
      </c>
      <c r="D24" s="288">
        <f>SUM(D6:D23)</f>
        <v>13.748522500000002</v>
      </c>
      <c r="E24" s="289">
        <f>(D24*100/C24)/100</f>
        <v>0.32876901630434785</v>
      </c>
      <c r="F24" s="206"/>
      <c r="G24" s="206"/>
      <c r="H24" s="206"/>
    </row>
    <row r="25" spans="1:8" ht="12.75" customHeight="1" x14ac:dyDescent="0.25"/>
    <row r="26" spans="1:8" ht="12.75" customHeight="1" x14ac:dyDescent="0.25"/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</sheetData>
  <mergeCells count="1">
    <mergeCell ref="A2:F3"/>
  </mergeCells>
  <conditionalFormatting sqref="C23">
    <cfRule type="cellIs" dxfId="39" priority="1" stopIfTrue="1" operator="lessThan">
      <formula>0</formula>
    </cfRule>
    <cfRule type="cellIs" dxfId="38" priority="2" stopIfTrue="1" operator="lessThan">
      <formula>0</formula>
    </cfRule>
    <cfRule type="cellIs" dxfId="37" priority="3" stopIfTrue="1" operator="lessThan">
      <formula>0</formula>
    </cfRule>
  </conditionalFormatting>
  <conditionalFormatting sqref="C24">
    <cfRule type="cellIs" dxfId="36" priority="4" stopIfTrue="1" operator="lessThan">
      <formula>0</formula>
    </cfRule>
  </conditionalFormatting>
  <dataValidations count="1">
    <dataValidation type="list" allowBlank="1" showErrorMessage="1" sqref="A5:A9 A11:A14 A16:A17 A19:A23">
      <formula1>Articulo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994"/>
  <sheetViews>
    <sheetView workbookViewId="0"/>
  </sheetViews>
  <sheetFormatPr baseColWidth="10" defaultColWidth="12.6640625" defaultRowHeight="15" customHeight="1" x14ac:dyDescent="0.25"/>
  <cols>
    <col min="1" max="1" width="90.6640625" style="302" customWidth="1"/>
    <col min="2" max="2" width="54" style="302" customWidth="1"/>
    <col min="3" max="5" width="11.33203125" style="302" customWidth="1"/>
    <col min="6" max="6" width="12.21875" style="302" customWidth="1"/>
    <col min="7" max="7" width="14.21875" style="302" customWidth="1"/>
    <col min="8" max="12" width="11.33203125" style="302" customWidth="1"/>
    <col min="13" max="26" width="8.6640625" style="302" customWidth="1"/>
  </cols>
  <sheetData>
    <row r="1" spans="1:12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12" ht="12.75" customHeight="1" x14ac:dyDescent="0.25">
      <c r="A2" s="322" t="s">
        <v>456</v>
      </c>
      <c r="B2" s="323"/>
      <c r="C2" s="323"/>
      <c r="D2" s="323"/>
      <c r="E2" s="323"/>
      <c r="F2" s="324"/>
    </row>
    <row r="3" spans="1:12" ht="12.75" customHeight="1" x14ac:dyDescent="0.25">
      <c r="A3" s="325"/>
      <c r="B3" s="326"/>
      <c r="C3" s="326"/>
      <c r="D3" s="326"/>
      <c r="E3" s="326"/>
      <c r="F3" s="327"/>
    </row>
    <row r="4" spans="1:12" ht="12.75" customHeight="1" x14ac:dyDescent="0.3">
      <c r="A4" s="196" t="s">
        <v>444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2" ht="12.75" customHeight="1" x14ac:dyDescent="0.3">
      <c r="A5" s="198" t="s">
        <v>449</v>
      </c>
      <c r="B5" s="279" t="s">
        <v>450</v>
      </c>
      <c r="C5" s="280" t="s">
        <v>451</v>
      </c>
      <c r="D5" s="199" t="s">
        <v>452</v>
      </c>
      <c r="E5" s="281"/>
    </row>
    <row r="6" spans="1:12" ht="12.75" customHeight="1" x14ac:dyDescent="0.3">
      <c r="A6" s="204" t="s">
        <v>394</v>
      </c>
      <c r="B6" s="262">
        <v>1</v>
      </c>
      <c r="C6" s="263">
        <f>IF(ISNA(VLOOKUP(A6,'Listado de Artículos'!$B$16:$F$1328,5,0)),0,(VLOOKUP(A6,'Listado de Artículos'!$B$16:$F$1328,5,0)))</f>
        <v>1.64975</v>
      </c>
      <c r="D6" s="211">
        <f>B6*C6</f>
        <v>1.64975</v>
      </c>
      <c r="E6" s="281"/>
    </row>
    <row r="7" spans="1:12" ht="12.75" customHeight="1" x14ac:dyDescent="0.3">
      <c r="A7" s="204" t="s">
        <v>396</v>
      </c>
      <c r="B7" s="262">
        <v>1</v>
      </c>
      <c r="C7" s="263">
        <f>IF(ISNA(VLOOKUP(A7,'Listado de Artículos'!$B$16:$F$1328,5,0)),0,(VLOOKUP(A7,'Listado de Artículos'!$B$16:$F$1328,5,0)))</f>
        <v>1.7053750000000001</v>
      </c>
      <c r="D7" s="211">
        <f>B7*C7</f>
        <v>1.7053750000000001</v>
      </c>
      <c r="E7" s="281"/>
    </row>
    <row r="8" spans="1:12" ht="12.75" customHeight="1" x14ac:dyDescent="0.3">
      <c r="A8" s="204" t="s">
        <v>397</v>
      </c>
      <c r="B8" s="262">
        <v>1</v>
      </c>
      <c r="C8" s="263">
        <f>IF(ISNA(VLOOKUP(A8,'Listado de Artículos'!$B$16:$F$1328,5,0)),0,(VLOOKUP(A8,'Listado de Artículos'!$B$16:$F$1328,5,0)))</f>
        <v>1.2956875000000001</v>
      </c>
      <c r="D8" s="211">
        <f>B8*C8</f>
        <v>1.2956875000000001</v>
      </c>
      <c r="E8" s="281"/>
    </row>
    <row r="9" spans="1:12" ht="12.75" customHeight="1" x14ac:dyDescent="0.3">
      <c r="A9" s="204" t="s">
        <v>398</v>
      </c>
      <c r="B9" s="271">
        <v>1</v>
      </c>
      <c r="C9" s="263">
        <f>IF(ISNA(VLOOKUP(A9,'Listado de Artículos'!$B$16:$F$1328,5,0)),0,(VLOOKUP(A9,'Listado de Artículos'!$B$16:$F$1328,5,0)))</f>
        <v>0.54694999999999994</v>
      </c>
      <c r="D9" s="181">
        <f>B9*C9</f>
        <v>0.54694999999999994</v>
      </c>
      <c r="E9" s="282"/>
    </row>
    <row r="10" spans="1:12" ht="12.75" customHeight="1" x14ac:dyDescent="0.3">
      <c r="A10" s="200" t="s">
        <v>453</v>
      </c>
      <c r="B10" s="201"/>
      <c r="C10" s="202"/>
      <c r="D10" s="202"/>
      <c r="E10" s="203"/>
    </row>
    <row r="11" spans="1:12" ht="12.75" customHeight="1" x14ac:dyDescent="0.3">
      <c r="A11" s="204" t="s">
        <v>175</v>
      </c>
      <c r="B11" s="262">
        <v>1</v>
      </c>
      <c r="C11" s="263">
        <f>IF(ISNA(VLOOKUP(A11,'Listado de Artículos'!$B$16:$F$1328,5,0)),0,(VLOOKUP(A11,'Listado de Artículos'!$B$16:$F$1328,5,0)))</f>
        <v>0.7</v>
      </c>
      <c r="D11" s="211">
        <f>B11*C11</f>
        <v>0.7</v>
      </c>
      <c r="E11" s="281"/>
    </row>
    <row r="12" spans="1:12" ht="12.75" customHeight="1" x14ac:dyDescent="0.3">
      <c r="A12" s="204" t="s">
        <v>230</v>
      </c>
      <c r="B12" s="262">
        <v>1</v>
      </c>
      <c r="C12" s="263">
        <f>IF(ISNA(VLOOKUP(A12,'Listado de Artículos'!$B$16:$F$1328,5,0)),0,(VLOOKUP(A12,'Listado de Artículos'!$B$16:$F$1328,5,0)))</f>
        <v>0.54</v>
      </c>
      <c r="D12" s="211">
        <f>B12*C12</f>
        <v>0.54</v>
      </c>
      <c r="E12" s="281"/>
    </row>
    <row r="13" spans="1:12" ht="12.75" customHeight="1" x14ac:dyDescent="0.3">
      <c r="A13" s="204"/>
      <c r="B13" s="262">
        <v>1</v>
      </c>
      <c r="C13" s="263">
        <f>IF(ISNA(VLOOKUP(A13,'Listado de Artículos'!$B$16:$F$1328,5,0)),0,(VLOOKUP(A13,'Listado de Artículos'!$B$16:$F$1328,5,0)))</f>
        <v>0</v>
      </c>
      <c r="D13" s="211">
        <v>5.95</v>
      </c>
      <c r="E13" s="281"/>
    </row>
    <row r="14" spans="1:12" ht="12.75" customHeight="1" x14ac:dyDescent="0.3">
      <c r="A14" s="204" t="s">
        <v>320</v>
      </c>
      <c r="B14" s="262">
        <v>0.03</v>
      </c>
      <c r="C14" s="263">
        <f>IF(ISNA(VLOOKUP(A14,'Listado de Artículos'!$B$16:$F$1328,5,0)),0,(VLOOKUP(A14,'Listado de Artículos'!$B$16:$F$1328,5,0)))</f>
        <v>3.85</v>
      </c>
      <c r="D14" s="211">
        <f>B14*C14</f>
        <v>0.11549999999999999</v>
      </c>
      <c r="E14" s="281"/>
    </row>
    <row r="15" spans="1:12" ht="12.75" customHeight="1" x14ac:dyDescent="0.3">
      <c r="A15" s="200" t="s">
        <v>454</v>
      </c>
      <c r="B15" s="201"/>
      <c r="C15" s="202"/>
      <c r="D15" s="202"/>
      <c r="E15" s="203"/>
    </row>
    <row r="16" spans="1:12" ht="12.75" customHeight="1" x14ac:dyDescent="0.3">
      <c r="A16" s="204" t="s">
        <v>179</v>
      </c>
      <c r="B16" s="262">
        <v>1</v>
      </c>
      <c r="C16" s="263">
        <f>IF(ISNA(VLOOKUP(A16,'Listado de Artículos'!$B$16:$F$1328,5,0)),0,(VLOOKUP(A16,'Listado de Artículos'!$B$16:$F$1328,5,0)))</f>
        <v>0.5</v>
      </c>
      <c r="D16" s="211">
        <f>B16*C16</f>
        <v>0.5</v>
      </c>
      <c r="E16" s="281"/>
    </row>
    <row r="17" spans="1:8" ht="12.75" customHeight="1" x14ac:dyDescent="0.3">
      <c r="A17" s="204" t="s">
        <v>228</v>
      </c>
      <c r="B17" s="262">
        <v>1</v>
      </c>
      <c r="C17" s="263">
        <f>IF(ISNA(VLOOKUP(A17,'Listado de Artículos'!$B$16:$F$1328,5,0)),0,(VLOOKUP(A17,'Listado de Artículos'!$B$16:$F$1328,5,0)))</f>
        <v>0.37</v>
      </c>
      <c r="D17" s="211">
        <f>B17*C17</f>
        <v>0.37</v>
      </c>
      <c r="E17" s="281"/>
    </row>
    <row r="18" spans="1:8" ht="12.75" customHeight="1" x14ac:dyDescent="0.3">
      <c r="A18" s="200" t="s">
        <v>454</v>
      </c>
      <c r="B18" s="201"/>
      <c r="C18" s="202"/>
      <c r="D18" s="202"/>
      <c r="E18" s="203"/>
    </row>
    <row r="19" spans="1:8" ht="12.75" customHeight="1" x14ac:dyDescent="0.3">
      <c r="A19" s="204" t="s">
        <v>156</v>
      </c>
      <c r="B19" s="262">
        <v>0.25</v>
      </c>
      <c r="C19" s="263">
        <f>IF(ISNA(VLOOKUP(A19,'Listado de Artículos'!$B$16:$F$1328,5,0)),0,(VLOOKUP(A19,'Listado de Artículos'!$B$16:$F$1328,5,0)))</f>
        <v>0.9</v>
      </c>
      <c r="D19" s="211">
        <f>B19*C19</f>
        <v>0.22500000000000001</v>
      </c>
      <c r="E19" s="281"/>
    </row>
    <row r="20" spans="1:8" ht="12.75" customHeight="1" x14ac:dyDescent="0.3">
      <c r="A20" s="204"/>
      <c r="B20" s="262">
        <v>0.15</v>
      </c>
      <c r="C20" s="263">
        <f>IF(ISNA(VLOOKUP(A20,'Listado de Artículos'!$B$16:$F$1328,5,0)),0,(VLOOKUP(A20,'Listado de Artículos'!$B$16:$F$1328,5,0)))</f>
        <v>0</v>
      </c>
      <c r="D20" s="211">
        <f>B20*C20</f>
        <v>0</v>
      </c>
      <c r="E20" s="281"/>
    </row>
    <row r="21" spans="1:8" ht="12.75" customHeight="1" x14ac:dyDescent="0.3">
      <c r="A21" s="204" t="s">
        <v>123</v>
      </c>
      <c r="B21" s="262">
        <v>1</v>
      </c>
      <c r="C21" s="263">
        <f>IF(ISNA(VLOOKUP(A21,'Listado de Artículos'!$B$16:$F$1328,5,0)),0,(VLOOKUP(A21,'Listado de Artículos'!$B$16:$F$1328,5,0)))</f>
        <v>0.65</v>
      </c>
      <c r="D21" s="211">
        <f>B21*C21</f>
        <v>0.65</v>
      </c>
      <c r="E21" s="281"/>
    </row>
    <row r="22" spans="1:8" ht="12.75" customHeight="1" x14ac:dyDescent="0.3">
      <c r="A22" s="204"/>
      <c r="B22" s="262">
        <v>0.3</v>
      </c>
      <c r="C22" s="263">
        <f>IF(ISNA(VLOOKUP(A22,'Listado de Artículos'!$B$16:$F$1328,5,0)),0,(VLOOKUP(A22,'Listado de Artículos'!$B$16:$F$1328,5,0)))</f>
        <v>0</v>
      </c>
      <c r="D22" s="211">
        <f>B22*C22</f>
        <v>0</v>
      </c>
      <c r="E22" s="281"/>
    </row>
    <row r="23" spans="1:8" ht="12.75" customHeight="1" x14ac:dyDescent="0.3">
      <c r="A23" s="204"/>
      <c r="B23" s="283"/>
      <c r="C23" s="284"/>
      <c r="D23" s="285"/>
      <c r="E23" s="281"/>
    </row>
    <row r="24" spans="1:8" ht="12.75" customHeight="1" x14ac:dyDescent="0.3">
      <c r="A24" s="205" t="s">
        <v>455</v>
      </c>
      <c r="B24" s="286">
        <v>46</v>
      </c>
      <c r="C24" s="287">
        <f>B24/1.1</f>
        <v>41.818181818181813</v>
      </c>
      <c r="D24" s="288">
        <f>SUM(D6:D23)</f>
        <v>14.248262500000001</v>
      </c>
      <c r="E24" s="289">
        <f>(D24*100/C24)/100</f>
        <v>0.34071932065217397</v>
      </c>
      <c r="F24" s="206"/>
      <c r="G24" s="206"/>
      <c r="H24" s="206"/>
    </row>
    <row r="25" spans="1:8" ht="12.75" customHeight="1" x14ac:dyDescent="0.25"/>
    <row r="26" spans="1:8" ht="12.75" customHeight="1" x14ac:dyDescent="0.25"/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</sheetData>
  <mergeCells count="1">
    <mergeCell ref="A2:F3"/>
  </mergeCells>
  <conditionalFormatting sqref="C23">
    <cfRule type="cellIs" dxfId="35" priority="1" stopIfTrue="1" operator="lessThan">
      <formula>0</formula>
    </cfRule>
    <cfRule type="cellIs" dxfId="34" priority="2" stopIfTrue="1" operator="lessThan">
      <formula>0</formula>
    </cfRule>
    <cfRule type="cellIs" dxfId="33" priority="3" stopIfTrue="1" operator="lessThan">
      <formula>0</formula>
    </cfRule>
  </conditionalFormatting>
  <conditionalFormatting sqref="C24">
    <cfRule type="cellIs" dxfId="32" priority="4" stopIfTrue="1" operator="lessThan">
      <formula>0</formula>
    </cfRule>
  </conditionalFormatting>
  <dataValidations count="1">
    <dataValidation type="list" allowBlank="1" showErrorMessage="1" sqref="A5:A9 A11:A14 A16:A17 A19:A23">
      <formula1>Articulo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1005"/>
  <sheetViews>
    <sheetView workbookViewId="0"/>
  </sheetViews>
  <sheetFormatPr baseColWidth="10" defaultColWidth="12.6640625" defaultRowHeight="15" customHeight="1" x14ac:dyDescent="0.25"/>
  <cols>
    <col min="1" max="1" width="9.21875" style="302" customWidth="1"/>
    <col min="2" max="2" width="62.21875" style="302" customWidth="1"/>
    <col min="3" max="10" width="11.33203125" style="302" customWidth="1"/>
    <col min="11" max="11" width="17" style="302" customWidth="1"/>
    <col min="12" max="12" width="55.6640625" style="302" customWidth="1"/>
    <col min="13" max="13" width="11.33203125" style="302" customWidth="1"/>
    <col min="14" max="26" width="8.6640625" style="302" customWidth="1"/>
  </cols>
  <sheetData>
    <row r="1" spans="1:26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26" ht="12.75" customHeight="1" x14ac:dyDescent="0.3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spans="1:26" ht="12.75" customHeight="1" x14ac:dyDescent="0.3">
      <c r="A3" s="167"/>
      <c r="B3" s="166"/>
      <c r="C3" s="303" t="s">
        <v>405</v>
      </c>
      <c r="D3" s="304"/>
      <c r="E3" s="304"/>
      <c r="F3" s="304"/>
      <c r="G3" s="304"/>
      <c r="H3" s="304"/>
      <c r="I3" s="304"/>
      <c r="J3" s="304"/>
      <c r="K3" s="305"/>
      <c r="L3" s="166"/>
      <c r="M3" s="167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spans="1:26" ht="12.75" customHeight="1" x14ac:dyDescent="0.3">
      <c r="A4" s="167"/>
      <c r="B4" s="166"/>
      <c r="C4" s="316" t="s">
        <v>406</v>
      </c>
      <c r="D4" s="304"/>
      <c r="E4" s="304"/>
      <c r="F4" s="304"/>
      <c r="G4" s="304"/>
      <c r="H4" s="304"/>
      <c r="I4" s="304"/>
      <c r="J4" s="304"/>
      <c r="K4" s="305"/>
      <c r="L4" s="166"/>
      <c r="M4" s="167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spans="1:26" ht="12.75" customHeight="1" x14ac:dyDescent="0.3">
      <c r="A5" s="167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7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spans="1:26" ht="12.75" customHeight="1" x14ac:dyDescent="0.3">
      <c r="A6" s="167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7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spans="1:26" ht="12.75" customHeight="1" x14ac:dyDescent="0.3">
      <c r="A7" s="167"/>
      <c r="B7" s="167"/>
      <c r="C7" s="168" t="s">
        <v>407</v>
      </c>
      <c r="D7" s="309" t="s">
        <v>457</v>
      </c>
      <c r="E7" s="310"/>
      <c r="F7" s="310"/>
      <c r="G7" s="310"/>
      <c r="H7" s="310"/>
      <c r="I7" s="310"/>
      <c r="J7" s="310"/>
      <c r="K7" s="310"/>
      <c r="L7" s="166"/>
      <c r="M7" s="167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spans="1:26" ht="12.75" customHeight="1" x14ac:dyDescent="0.3">
      <c r="A8" s="169"/>
      <c r="B8" s="169"/>
      <c r="C8" s="170" t="s">
        <v>409</v>
      </c>
      <c r="D8" s="311" t="s">
        <v>410</v>
      </c>
      <c r="E8" s="312"/>
      <c r="F8" s="312"/>
      <c r="G8" s="313"/>
      <c r="H8" s="321"/>
      <c r="I8" s="308"/>
      <c r="J8" s="320"/>
      <c r="K8" s="308"/>
      <c r="L8" s="167"/>
      <c r="M8" s="167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spans="1:26" ht="12.75" customHeight="1" x14ac:dyDescent="0.3">
      <c r="A9" s="167"/>
      <c r="B9" s="166"/>
      <c r="C9" s="171" t="s">
        <v>411</v>
      </c>
      <c r="D9" s="260">
        <v>12</v>
      </c>
      <c r="E9" s="317" t="s">
        <v>412</v>
      </c>
      <c r="F9" s="318"/>
      <c r="G9" s="172">
        <f>SUM(K12:K15)</f>
        <v>1.9888999999999999</v>
      </c>
      <c r="H9" s="314" t="s">
        <v>413</v>
      </c>
      <c r="I9" s="315"/>
      <c r="J9" s="261">
        <f>G9/D9</f>
        <v>0.16574166666666665</v>
      </c>
      <c r="K9" s="173"/>
      <c r="L9" s="166"/>
      <c r="M9" s="167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spans="1:26" ht="12.75" customHeight="1" x14ac:dyDescent="0.3">
      <c r="A10" s="167"/>
      <c r="B10" s="174"/>
      <c r="C10" s="174"/>
      <c r="D10" s="174"/>
      <c r="E10" s="174"/>
      <c r="F10" s="174"/>
      <c r="G10" s="174"/>
      <c r="H10" s="174"/>
      <c r="I10" s="174"/>
      <c r="J10" s="166"/>
      <c r="K10" s="166"/>
      <c r="L10" s="166"/>
      <c r="M10" s="167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spans="1:26" ht="12.75" customHeight="1" x14ac:dyDescent="0.3">
      <c r="A11" s="167"/>
      <c r="B11" s="175" t="s">
        <v>414</v>
      </c>
      <c r="C11" s="219" t="s">
        <v>415</v>
      </c>
      <c r="D11" s="219" t="s">
        <v>416</v>
      </c>
      <c r="E11" s="219" t="s">
        <v>417</v>
      </c>
      <c r="F11" s="219" t="s">
        <v>418</v>
      </c>
      <c r="G11" s="219" t="s">
        <v>419</v>
      </c>
      <c r="H11" s="219" t="s">
        <v>420</v>
      </c>
      <c r="I11" s="219" t="s">
        <v>421</v>
      </c>
      <c r="J11" s="219" t="s">
        <v>422</v>
      </c>
      <c r="K11" s="220" t="s">
        <v>423</v>
      </c>
      <c r="L11" s="166"/>
      <c r="M11" s="167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spans="1:26" ht="12.75" customHeight="1" x14ac:dyDescent="0.3">
      <c r="A12" s="167"/>
      <c r="B12" s="178" t="s">
        <v>343</v>
      </c>
      <c r="C12" s="262">
        <v>0.2</v>
      </c>
      <c r="D12" s="263">
        <f>IF(ISNA(VLOOKUP(B12,'Listado de Artículos'!$B$16:$F$1328,5,0)),0,(VLOOKUP(B12,'Listado de Artículos'!$B$16:$F$1328,5,0)))</f>
        <v>0</v>
      </c>
      <c r="E12" s="262">
        <v>1</v>
      </c>
      <c r="F12" s="262">
        <v>1</v>
      </c>
      <c r="G12" s="264">
        <f>IF(E12&gt;0,(F12/E12),"")</f>
        <v>1</v>
      </c>
      <c r="H12" s="264">
        <f>IF(E12&gt;0,(100%-G12),"")</f>
        <v>0</v>
      </c>
      <c r="I12" s="265">
        <f>IF(C12&gt;0,(H12*C12/G12),"")</f>
        <v>0</v>
      </c>
      <c r="J12" s="265">
        <f>IF(C12&gt;0,(C12+I12),"")</f>
        <v>0.2</v>
      </c>
      <c r="K12" s="211" t="str">
        <f>IF(D12&gt;0,(D12*J12),"")</f>
        <v/>
      </c>
      <c r="L12" s="166"/>
      <c r="M12" s="167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spans="1:26" ht="12.75" customHeight="1" x14ac:dyDescent="0.3">
      <c r="A13" s="167"/>
      <c r="B13" s="177" t="s">
        <v>110</v>
      </c>
      <c r="C13" s="262">
        <v>0.5</v>
      </c>
      <c r="D13" s="263">
        <f>IF(ISNA(VLOOKUP(B13,'Listado de Artículos'!$B$16:$F$1328,5,0)),0,(VLOOKUP(B13,'Listado de Artículos'!$B$16:$F$1328,5,0)))</f>
        <v>0.42</v>
      </c>
      <c r="E13" s="262">
        <v>1</v>
      </c>
      <c r="F13" s="262">
        <v>1</v>
      </c>
      <c r="G13" s="264">
        <f>IF(E13&gt;0,(F13/E13),"")</f>
        <v>1</v>
      </c>
      <c r="H13" s="264">
        <f>IF(E13&gt;0,(100%-G13),"")</f>
        <v>0</v>
      </c>
      <c r="I13" s="265">
        <f>IF(C13&gt;0,(H13*C13/G13),"")</f>
        <v>0</v>
      </c>
      <c r="J13" s="265">
        <f>IF(C13&gt;0,(C13+I13),"")</f>
        <v>0.5</v>
      </c>
      <c r="K13" s="211">
        <f>IF(D13&gt;0,(D13*J13),"")</f>
        <v>0.21</v>
      </c>
      <c r="L13" s="166"/>
      <c r="M13" s="167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spans="1:26" ht="12.75" customHeight="1" x14ac:dyDescent="0.3">
      <c r="A14" s="167"/>
      <c r="B14" s="177" t="s">
        <v>61</v>
      </c>
      <c r="C14" s="262">
        <v>0.5</v>
      </c>
      <c r="D14" s="263">
        <f>IF(ISNA(VLOOKUP(B14,'Listado de Artículos'!$B$16:$F$1328,5,0)),0,(VLOOKUP(B14,'Listado de Artículos'!$B$16:$F$1328,5,0)))</f>
        <v>3.5</v>
      </c>
      <c r="E14" s="262">
        <v>1</v>
      </c>
      <c r="F14" s="262">
        <v>1</v>
      </c>
      <c r="G14" s="264">
        <f>IF(E14&gt;0,(F14/E14),"")</f>
        <v>1</v>
      </c>
      <c r="H14" s="264">
        <f>IF(E14&gt;0,(100%-G14),"")</f>
        <v>0</v>
      </c>
      <c r="I14" s="265">
        <f>IF(C14&gt;0,(H14*C14/G14),"")</f>
        <v>0</v>
      </c>
      <c r="J14" s="265">
        <f>IF(C14&gt;0,(C14+I14),"")</f>
        <v>0.5</v>
      </c>
      <c r="K14" s="211">
        <f>IF(D14&gt;0,(D14*J14),"")</f>
        <v>1.75</v>
      </c>
      <c r="L14" s="166"/>
      <c r="M14" s="167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spans="1:26" ht="12.75" customHeight="1" x14ac:dyDescent="0.3">
      <c r="A15" s="167"/>
      <c r="B15" s="176" t="s">
        <v>317</v>
      </c>
      <c r="C15" s="266">
        <v>5.0000000000000001E-3</v>
      </c>
      <c r="D15" s="267">
        <f>IF(ISNA(VLOOKUP(B15,'Listado de Artículos'!$B$16:$F$1328,5,0)),0,(VLOOKUP(B15,'Listado de Artículos'!$B$16:$F$1328,5,0)))</f>
        <v>5.78</v>
      </c>
      <c r="E15" s="266">
        <v>1</v>
      </c>
      <c r="F15" s="266">
        <v>1</v>
      </c>
      <c r="G15" s="268">
        <f>IF(E15&gt;0,(F15/E15),"")</f>
        <v>1</v>
      </c>
      <c r="H15" s="268">
        <f>IF(E15&gt;0,(100%-G15),"")</f>
        <v>0</v>
      </c>
      <c r="I15" s="269">
        <f>IF(C15&gt;0,(H15*C15/G15),"")</f>
        <v>0</v>
      </c>
      <c r="J15" s="269">
        <f>IF(C15&gt;0,(C15+I15),"")</f>
        <v>5.0000000000000001E-3</v>
      </c>
      <c r="K15" s="224">
        <f>IF(D15&gt;0,(D15*J15),"")</f>
        <v>2.8900000000000002E-2</v>
      </c>
      <c r="L15" s="166"/>
      <c r="M15" s="167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spans="1:26" ht="12.75" customHeight="1" x14ac:dyDescent="0.3">
      <c r="A16" s="167"/>
      <c r="B16" s="174"/>
      <c r="C16" s="306"/>
      <c r="D16" s="304"/>
      <c r="E16" s="304"/>
      <c r="F16" s="304"/>
      <c r="G16" s="304"/>
      <c r="H16" s="304"/>
      <c r="I16" s="304"/>
      <c r="J16" s="166"/>
      <c r="K16" s="166"/>
      <c r="L16" s="166"/>
      <c r="M16" s="167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spans="1:26" ht="12.75" customHeight="1" x14ac:dyDescent="0.3">
      <c r="A17" s="164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4"/>
    </row>
    <row r="18" spans="1:26" ht="12.75" customHeight="1" x14ac:dyDescent="0.3">
      <c r="A18" s="164"/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4"/>
    </row>
    <row r="19" spans="1:26" ht="12.75" customHeight="1" x14ac:dyDescent="0.3">
      <c r="A19" s="166"/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spans="1:26" ht="12.75" customHeight="1" x14ac:dyDescent="0.3">
      <c r="A20" s="167"/>
      <c r="B20" s="166"/>
      <c r="C20" s="303" t="s">
        <v>405</v>
      </c>
      <c r="D20" s="304"/>
      <c r="E20" s="304"/>
      <c r="F20" s="304"/>
      <c r="G20" s="304"/>
      <c r="H20" s="304"/>
      <c r="I20" s="304"/>
      <c r="J20" s="304"/>
      <c r="K20" s="305"/>
      <c r="L20" s="166"/>
      <c r="M20" s="167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spans="1:26" ht="12.75" customHeight="1" x14ac:dyDescent="0.3">
      <c r="A21" s="167"/>
      <c r="B21" s="166"/>
      <c r="C21" s="316" t="s">
        <v>406</v>
      </c>
      <c r="D21" s="304"/>
      <c r="E21" s="304"/>
      <c r="F21" s="304"/>
      <c r="G21" s="304"/>
      <c r="H21" s="304"/>
      <c r="I21" s="304"/>
      <c r="J21" s="304"/>
      <c r="K21" s="305"/>
      <c r="L21" s="166"/>
      <c r="M21" s="167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spans="1:26" ht="12.75" customHeight="1" x14ac:dyDescent="0.3">
      <c r="A22" s="167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7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 spans="1:26" ht="12.75" customHeight="1" x14ac:dyDescent="0.3">
      <c r="A23" s="167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7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 spans="1:26" ht="12.75" customHeight="1" x14ac:dyDescent="0.3">
      <c r="A24" s="167"/>
      <c r="B24" s="167"/>
      <c r="C24" s="168" t="s">
        <v>407</v>
      </c>
      <c r="D24" s="309" t="s">
        <v>458</v>
      </c>
      <c r="E24" s="310"/>
      <c r="F24" s="310"/>
      <c r="G24" s="310"/>
      <c r="H24" s="310"/>
      <c r="I24" s="310"/>
      <c r="J24" s="310"/>
      <c r="K24" s="310"/>
      <c r="L24" s="166"/>
      <c r="M24" s="167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 spans="1:26" ht="12.75" customHeight="1" x14ac:dyDescent="0.3">
      <c r="A25" s="169"/>
      <c r="B25" s="169"/>
      <c r="C25" s="170" t="s">
        <v>409</v>
      </c>
      <c r="D25" s="311" t="s">
        <v>410</v>
      </c>
      <c r="E25" s="312"/>
      <c r="F25" s="312"/>
      <c r="G25" s="313"/>
      <c r="H25" s="319" t="s">
        <v>459</v>
      </c>
      <c r="I25" s="315"/>
      <c r="J25" s="328"/>
      <c r="K25" s="308"/>
      <c r="L25" s="167"/>
      <c r="M25" s="167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 spans="1:26" ht="12.75" customHeight="1" x14ac:dyDescent="0.3">
      <c r="A26" s="167"/>
      <c r="B26" s="166"/>
      <c r="C26" s="171" t="s">
        <v>430</v>
      </c>
      <c r="D26" s="260">
        <v>1</v>
      </c>
      <c r="E26" s="317" t="s">
        <v>412</v>
      </c>
      <c r="F26" s="318"/>
      <c r="G26" s="172">
        <f>SUM(K29:K34)</f>
        <v>2.0265</v>
      </c>
      <c r="H26" s="314" t="s">
        <v>460</v>
      </c>
      <c r="I26" s="315"/>
      <c r="J26" s="261">
        <f>G26/D26</f>
        <v>2.0265</v>
      </c>
      <c r="K26" s="173"/>
      <c r="L26" s="166"/>
      <c r="M26" s="167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 spans="1:26" ht="12.75" customHeight="1" x14ac:dyDescent="0.3">
      <c r="A27" s="167"/>
      <c r="B27" s="174"/>
      <c r="C27" s="174"/>
      <c r="D27" s="174"/>
      <c r="E27" s="174"/>
      <c r="F27" s="174"/>
      <c r="G27" s="174"/>
      <c r="H27" s="174"/>
      <c r="I27" s="174"/>
      <c r="J27" s="166"/>
      <c r="K27" s="166"/>
      <c r="L27" s="166"/>
      <c r="M27" s="167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spans="1:26" ht="12.75" customHeight="1" x14ac:dyDescent="0.3">
      <c r="A28" s="167"/>
      <c r="B28" s="175" t="s">
        <v>414</v>
      </c>
      <c r="C28" s="219" t="s">
        <v>415</v>
      </c>
      <c r="D28" s="219" t="s">
        <v>416</v>
      </c>
      <c r="E28" s="219" t="s">
        <v>417</v>
      </c>
      <c r="F28" s="219" t="s">
        <v>418</v>
      </c>
      <c r="G28" s="219" t="s">
        <v>419</v>
      </c>
      <c r="H28" s="219" t="s">
        <v>420</v>
      </c>
      <c r="I28" s="219" t="s">
        <v>421</v>
      </c>
      <c r="J28" s="219" t="s">
        <v>422</v>
      </c>
      <c r="K28" s="220" t="s">
        <v>423</v>
      </c>
      <c r="L28" s="166"/>
      <c r="M28" s="167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spans="1:26" ht="12.75" customHeight="1" x14ac:dyDescent="0.3">
      <c r="A29" s="167"/>
      <c r="B29" s="178" t="s">
        <v>280</v>
      </c>
      <c r="C29" s="262">
        <v>0.2</v>
      </c>
      <c r="D29" s="263">
        <f>IF(ISNA(VLOOKUP(B29,'Listado de Artículos'!$B$16:$F$1328,5,0)),0,(VLOOKUP(B29,'Listado de Artículos'!$B$16:$F$1328,5,0)))</f>
        <v>2</v>
      </c>
      <c r="E29" s="262">
        <v>1</v>
      </c>
      <c r="F29" s="262">
        <v>1</v>
      </c>
      <c r="G29" s="264">
        <f t="shared" ref="G29:G34" si="0">IF(E29&gt;0,(F29/E29),"")</f>
        <v>1</v>
      </c>
      <c r="H29" s="264">
        <f t="shared" ref="H29:H34" si="1">IF(E29&gt;0,(100%-G29),"")</f>
        <v>0</v>
      </c>
      <c r="I29" s="265">
        <f t="shared" ref="I29:I34" si="2">IF(C29&gt;0,(H29*C29/G29),"")</f>
        <v>0</v>
      </c>
      <c r="J29" s="265">
        <f t="shared" ref="J29:J34" si="3">IF(C29&gt;0,(C29+I29),"")</f>
        <v>0.2</v>
      </c>
      <c r="K29" s="211">
        <f t="shared" ref="K29:K34" si="4">IF(D29&gt;0,(D29*J29),"")</f>
        <v>0.4</v>
      </c>
      <c r="L29" s="166"/>
      <c r="M29" s="167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spans="1:26" ht="12.75" customHeight="1" x14ac:dyDescent="0.3">
      <c r="A30" s="179"/>
      <c r="B30" s="180" t="s">
        <v>295</v>
      </c>
      <c r="C30" s="271">
        <v>0.1</v>
      </c>
      <c r="D30" s="272">
        <f>IF(ISNA(VLOOKUP(B30,'Listado de Artículos'!$B$16:$F$1328,5,0)),0,(VLOOKUP(B30,'Listado de Artículos'!$B$16:$F$1328,5,0)))</f>
        <v>6.9</v>
      </c>
      <c r="E30" s="271">
        <v>1</v>
      </c>
      <c r="F30" s="271">
        <v>1</v>
      </c>
      <c r="G30" s="273">
        <f t="shared" si="0"/>
        <v>1</v>
      </c>
      <c r="H30" s="273">
        <f t="shared" si="1"/>
        <v>0</v>
      </c>
      <c r="I30" s="274">
        <f t="shared" si="2"/>
        <v>0</v>
      </c>
      <c r="J30" s="274">
        <f t="shared" si="3"/>
        <v>0.1</v>
      </c>
      <c r="K30" s="181">
        <f t="shared" si="4"/>
        <v>0.69000000000000006</v>
      </c>
      <c r="L30" s="182"/>
      <c r="M30" s="179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</row>
    <row r="31" spans="1:26" ht="12.75" customHeight="1" x14ac:dyDescent="0.3">
      <c r="A31" s="183"/>
      <c r="B31" s="184" t="s">
        <v>211</v>
      </c>
      <c r="C31" s="275">
        <v>2</v>
      </c>
      <c r="D31" s="276">
        <f>IF(ISNA(VLOOKUP(B31,'Listado de Artículos'!$B$16:$F$1328,5,0)),0,(VLOOKUP(B31,'Listado de Artículos'!$B$16:$F$1328,5,0)))</f>
        <v>0.26</v>
      </c>
      <c r="E31" s="275">
        <v>1</v>
      </c>
      <c r="F31" s="275">
        <v>1</v>
      </c>
      <c r="G31" s="277">
        <f t="shared" si="0"/>
        <v>1</v>
      </c>
      <c r="H31" s="277">
        <f t="shared" si="1"/>
        <v>0</v>
      </c>
      <c r="I31" s="278">
        <f t="shared" si="2"/>
        <v>0</v>
      </c>
      <c r="J31" s="278">
        <f t="shared" si="3"/>
        <v>2</v>
      </c>
      <c r="K31" s="185">
        <f t="shared" si="4"/>
        <v>0.52</v>
      </c>
      <c r="L31" s="186"/>
      <c r="M31" s="183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spans="1:26" ht="12.75" customHeight="1" x14ac:dyDescent="0.3">
      <c r="A32" s="183"/>
      <c r="B32" s="187" t="s">
        <v>201</v>
      </c>
      <c r="C32" s="275">
        <v>0.02</v>
      </c>
      <c r="D32" s="276">
        <f>IF(ISNA(VLOOKUP(B32,'Listado de Artículos'!$B$16:$F$1328,5,0)),0,(VLOOKUP(B32,'Listado de Artículos'!$B$16:$F$1328,5,0)))</f>
        <v>0.38</v>
      </c>
      <c r="E32" s="275">
        <v>1</v>
      </c>
      <c r="F32" s="275">
        <v>1</v>
      </c>
      <c r="G32" s="277">
        <f t="shared" si="0"/>
        <v>1</v>
      </c>
      <c r="H32" s="277">
        <f t="shared" si="1"/>
        <v>0</v>
      </c>
      <c r="I32" s="278">
        <f t="shared" si="2"/>
        <v>0</v>
      </c>
      <c r="J32" s="278">
        <f t="shared" si="3"/>
        <v>0.02</v>
      </c>
      <c r="K32" s="185">
        <f t="shared" si="4"/>
        <v>7.6E-3</v>
      </c>
      <c r="L32" s="186"/>
      <c r="M32" s="183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spans="1:26" ht="12.75" customHeight="1" x14ac:dyDescent="0.3">
      <c r="A33" s="183"/>
      <c r="B33" s="184" t="s">
        <v>317</v>
      </c>
      <c r="C33" s="275">
        <v>5.0000000000000001E-3</v>
      </c>
      <c r="D33" s="276">
        <f>IF(ISNA(VLOOKUP(B33,'Listado de Artículos'!$B$16:$F$1328,5,0)),0,(VLOOKUP(B33,'Listado de Artículos'!$B$16:$F$1328,5,0)))</f>
        <v>5.78</v>
      </c>
      <c r="E33" s="275">
        <v>1</v>
      </c>
      <c r="F33" s="275">
        <v>1</v>
      </c>
      <c r="G33" s="277">
        <f t="shared" si="0"/>
        <v>1</v>
      </c>
      <c r="H33" s="277">
        <f t="shared" si="1"/>
        <v>0</v>
      </c>
      <c r="I33" s="278">
        <f t="shared" si="2"/>
        <v>0</v>
      </c>
      <c r="J33" s="278">
        <f t="shared" si="3"/>
        <v>5.0000000000000001E-3</v>
      </c>
      <c r="K33" s="185">
        <f t="shared" si="4"/>
        <v>2.8900000000000002E-2</v>
      </c>
      <c r="L33" s="186"/>
      <c r="M33" s="183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spans="1:26" ht="12.75" customHeight="1" x14ac:dyDescent="0.3">
      <c r="A34" s="183"/>
      <c r="B34" s="187" t="s">
        <v>268</v>
      </c>
      <c r="C34" s="275">
        <v>0.05</v>
      </c>
      <c r="D34" s="276">
        <f>IF(ISNA(VLOOKUP(B34,'Listado de Artículos'!$B$16:$F$1328,5,0)),0,(VLOOKUP(B34,'Listado de Artículos'!$B$16:$F$1328,5,0)))</f>
        <v>7.6</v>
      </c>
      <c r="E34" s="275">
        <v>1</v>
      </c>
      <c r="F34" s="275">
        <v>1</v>
      </c>
      <c r="G34" s="277">
        <f t="shared" si="0"/>
        <v>1</v>
      </c>
      <c r="H34" s="277">
        <f t="shared" si="1"/>
        <v>0</v>
      </c>
      <c r="I34" s="278">
        <f t="shared" si="2"/>
        <v>0</v>
      </c>
      <c r="J34" s="278">
        <f t="shared" si="3"/>
        <v>0.05</v>
      </c>
      <c r="K34" s="185">
        <f t="shared" si="4"/>
        <v>0.38</v>
      </c>
      <c r="L34" s="186"/>
      <c r="M34" s="183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spans="1:26" ht="12.75" customHeight="1" x14ac:dyDescent="0.3">
      <c r="A35" s="188"/>
      <c r="B35" s="189"/>
      <c r="C35" s="306"/>
      <c r="D35" s="304"/>
      <c r="E35" s="304"/>
      <c r="F35" s="304"/>
      <c r="G35" s="304"/>
      <c r="H35" s="304"/>
      <c r="I35" s="304"/>
      <c r="J35" s="190"/>
      <c r="K35" s="190"/>
      <c r="L35" s="190"/>
      <c r="M35" s="188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</row>
    <row r="36" spans="1:26" ht="12.75" customHeight="1" x14ac:dyDescent="0.3">
      <c r="A36" s="164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4"/>
    </row>
    <row r="37" spans="1:26" ht="12.75" customHeight="1" x14ac:dyDescent="0.3">
      <c r="A37" s="167"/>
      <c r="B37" s="166"/>
      <c r="C37" s="303" t="s">
        <v>405</v>
      </c>
      <c r="D37" s="304"/>
      <c r="E37" s="304"/>
      <c r="F37" s="304"/>
      <c r="G37" s="304"/>
      <c r="H37" s="304"/>
      <c r="I37" s="304"/>
      <c r="J37" s="304"/>
      <c r="K37" s="305"/>
      <c r="L37" s="166"/>
      <c r="M37" s="167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spans="1:26" ht="12.75" customHeight="1" x14ac:dyDescent="0.3">
      <c r="A38" s="167"/>
      <c r="B38" s="166"/>
      <c r="C38" s="316" t="s">
        <v>406</v>
      </c>
      <c r="D38" s="304"/>
      <c r="E38" s="304"/>
      <c r="F38" s="304"/>
      <c r="G38" s="304"/>
      <c r="H38" s="304"/>
      <c r="I38" s="304"/>
      <c r="J38" s="304"/>
      <c r="K38" s="305"/>
      <c r="L38" s="166"/>
      <c r="M38" s="167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spans="1:26" ht="12.75" customHeight="1" x14ac:dyDescent="0.3">
      <c r="A39" s="167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7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spans="1:26" ht="12.75" customHeight="1" x14ac:dyDescent="0.3">
      <c r="A40" s="167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7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spans="1:26" ht="12.75" customHeight="1" x14ac:dyDescent="0.3">
      <c r="A41" s="167"/>
      <c r="B41" s="167"/>
      <c r="C41" s="168" t="s">
        <v>407</v>
      </c>
      <c r="D41" s="309" t="s">
        <v>461</v>
      </c>
      <c r="E41" s="310"/>
      <c r="F41" s="310"/>
      <c r="G41" s="310"/>
      <c r="H41" s="310"/>
      <c r="I41" s="310"/>
      <c r="J41" s="310"/>
      <c r="K41" s="310"/>
      <c r="L41" s="166"/>
      <c r="M41" s="167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spans="1:26" ht="12.75" customHeight="1" x14ac:dyDescent="0.3">
      <c r="A42" s="169"/>
      <c r="B42" s="169"/>
      <c r="C42" s="170" t="s">
        <v>409</v>
      </c>
      <c r="D42" s="311" t="s">
        <v>425</v>
      </c>
      <c r="E42" s="312"/>
      <c r="F42" s="312"/>
      <c r="G42" s="313"/>
      <c r="H42" s="319" t="s">
        <v>426</v>
      </c>
      <c r="I42" s="315"/>
      <c r="J42" s="307"/>
      <c r="K42" s="308"/>
      <c r="L42" s="167"/>
      <c r="M42" s="167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spans="1:26" ht="12.75" customHeight="1" x14ac:dyDescent="0.3">
      <c r="A43" s="167"/>
      <c r="B43" s="166"/>
      <c r="C43" s="171" t="s">
        <v>411</v>
      </c>
      <c r="D43" s="207">
        <v>1</v>
      </c>
      <c r="E43" s="317" t="s">
        <v>412</v>
      </c>
      <c r="F43" s="318"/>
      <c r="G43" s="172">
        <f>SUM(K46:K52)</f>
        <v>3.6789000000000005</v>
      </c>
      <c r="H43" s="314" t="s">
        <v>427</v>
      </c>
      <c r="I43" s="315"/>
      <c r="J43" s="261">
        <f>G43/D43</f>
        <v>3.6789000000000005</v>
      </c>
      <c r="K43" s="270"/>
      <c r="L43" s="166"/>
      <c r="M43" s="167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spans="1:26" ht="12.75" customHeight="1" x14ac:dyDescent="0.3">
      <c r="A44" s="167"/>
      <c r="B44" s="174"/>
      <c r="C44" s="174"/>
      <c r="D44" s="174"/>
      <c r="E44" s="174"/>
      <c r="F44" s="174"/>
      <c r="G44" s="174"/>
      <c r="H44" s="174"/>
      <c r="I44" s="174"/>
      <c r="J44" s="166"/>
      <c r="K44" s="166"/>
      <c r="L44" s="166"/>
      <c r="M44" s="167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spans="1:26" ht="12.75" customHeight="1" x14ac:dyDescent="0.3">
      <c r="A45" s="167"/>
      <c r="B45" s="175" t="s">
        <v>414</v>
      </c>
      <c r="C45" s="219" t="s">
        <v>415</v>
      </c>
      <c r="D45" s="219" t="s">
        <v>416</v>
      </c>
      <c r="E45" s="219" t="s">
        <v>417</v>
      </c>
      <c r="F45" s="219" t="s">
        <v>418</v>
      </c>
      <c r="G45" s="219" t="s">
        <v>419</v>
      </c>
      <c r="H45" s="219" t="s">
        <v>420</v>
      </c>
      <c r="I45" s="219" t="s">
        <v>421</v>
      </c>
      <c r="J45" s="219" t="s">
        <v>422</v>
      </c>
      <c r="K45" s="220" t="s">
        <v>423</v>
      </c>
      <c r="L45" s="166"/>
      <c r="M45" s="167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spans="1:26" ht="12.75" customHeight="1" x14ac:dyDescent="0.3">
      <c r="A46" s="167"/>
      <c r="B46" s="177" t="s">
        <v>280</v>
      </c>
      <c r="C46" s="262">
        <v>0.1</v>
      </c>
      <c r="D46" s="263">
        <f>IF(ISNA(VLOOKUP(B46,'Listado de Artículos'!$B$16:$F$1328,5,0)),0,(VLOOKUP(B46,'Listado de Artículos'!$B$16:$F$1328,5,0)))</f>
        <v>2</v>
      </c>
      <c r="E46" s="262">
        <v>1</v>
      </c>
      <c r="F46" s="262">
        <v>1</v>
      </c>
      <c r="G46" s="264">
        <f>IF(E46&gt;0,(F46/E46),"")</f>
        <v>1</v>
      </c>
      <c r="H46" s="264">
        <f>IF(E46&gt;0,(100%-G46),"")</f>
        <v>0</v>
      </c>
      <c r="I46" s="265">
        <f>IF(C46&gt;0,(H46*C46/G46),"")</f>
        <v>0</v>
      </c>
      <c r="J46" s="265">
        <f>IF(C46&gt;0,(C46+I46),"")</f>
        <v>0.1</v>
      </c>
      <c r="K46" s="211">
        <f>IF(D46&gt;0,(D46*J46),"")</f>
        <v>0.2</v>
      </c>
      <c r="L46" s="166"/>
      <c r="M46" s="167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spans="1:26" ht="12.75" customHeight="1" x14ac:dyDescent="0.3">
      <c r="A47" s="167"/>
      <c r="B47" s="177" t="s">
        <v>381</v>
      </c>
      <c r="C47" s="262">
        <v>0.25</v>
      </c>
      <c r="D47" s="263">
        <f>IF(ISNA(VLOOKUP(B47,'Listado de Artículos'!$B$16:$F$1328,5,0)),0,(VLOOKUP(B47,'Listado de Artículos'!$B$16:$F$1328,5,0)))</f>
        <v>10.5</v>
      </c>
      <c r="E47" s="262">
        <v>1</v>
      </c>
      <c r="F47" s="262">
        <v>1</v>
      </c>
      <c r="G47" s="264">
        <f>IF(E47&gt;0,(F47/E47),"")</f>
        <v>1</v>
      </c>
      <c r="H47" s="264">
        <f>IF(E47&gt;0,(100%-G47),"")</f>
        <v>0</v>
      </c>
      <c r="I47" s="265">
        <f>IF(C47&gt;0,(H47*C47/G47),"")</f>
        <v>0</v>
      </c>
      <c r="J47" s="265">
        <f>IF(C47&gt;0,(C47+I47),"")</f>
        <v>0.25</v>
      </c>
      <c r="K47" s="211">
        <f>IF(D47&gt;0,(D47*J47),"")</f>
        <v>2.625</v>
      </c>
      <c r="L47" s="166"/>
      <c r="M47" s="167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 spans="1:26" ht="12.75" customHeight="1" x14ac:dyDescent="0.3">
      <c r="A48" s="167"/>
      <c r="B48" s="177" t="s">
        <v>291</v>
      </c>
      <c r="C48" s="262">
        <v>0.01</v>
      </c>
      <c r="D48" s="263">
        <f>IF(ISNA(VLOOKUP(B48,'Listado de Artículos'!$B$16:$F$1328,5,0)),0,(VLOOKUP(B48,'Listado de Artículos'!$B$16:$F$1328,5,0)))</f>
        <v>23</v>
      </c>
      <c r="E48" s="262">
        <v>1</v>
      </c>
      <c r="F48" s="262">
        <v>1</v>
      </c>
      <c r="G48" s="264">
        <f>IF(E48&gt;0,(F48/E48),"")</f>
        <v>1</v>
      </c>
      <c r="H48" s="264">
        <f>IF(E48&gt;0,(100%-G48),"")</f>
        <v>0</v>
      </c>
      <c r="I48" s="265">
        <f>IF(C48&gt;0,(H48*C48/G48),"")</f>
        <v>0</v>
      </c>
      <c r="J48" s="265">
        <f>IF(C48&gt;0,(C48+I48),"")</f>
        <v>0.01</v>
      </c>
      <c r="K48" s="211">
        <f>IF(D48&gt;0,(D48*J48),"")</f>
        <v>0.23</v>
      </c>
      <c r="L48" s="166"/>
      <c r="M48" s="167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 spans="1:26" ht="12.75" customHeight="1" x14ac:dyDescent="0.3">
      <c r="A49" s="167"/>
      <c r="B49" s="177" t="s">
        <v>317</v>
      </c>
      <c r="C49" s="262">
        <v>5.0000000000000001E-3</v>
      </c>
      <c r="D49" s="263">
        <f>IF(ISNA(VLOOKUP(B49,'Listado de Artículos'!$B$16:$F$1328,5,0)),0,(VLOOKUP(B49,'Listado de Artículos'!$B$16:$F$1328,5,0)))</f>
        <v>5.78</v>
      </c>
      <c r="E49" s="262">
        <v>1</v>
      </c>
      <c r="F49" s="262">
        <v>1</v>
      </c>
      <c r="G49" s="264">
        <f>IF(E49&gt;0,(F49/E49),"")</f>
        <v>1</v>
      </c>
      <c r="H49" s="264">
        <f>IF(E49&gt;0,(100%-G49),"")</f>
        <v>0</v>
      </c>
      <c r="I49" s="265">
        <f>IF(C49&gt;0,(H49*C49/G49),"")</f>
        <v>0</v>
      </c>
      <c r="J49" s="265">
        <f>IF(C49&gt;0,(C49+I49),"")</f>
        <v>5.0000000000000001E-3</v>
      </c>
      <c r="K49" s="211">
        <f>IF(D49&gt;0,(D49*J49),"")</f>
        <v>2.8900000000000002E-2</v>
      </c>
      <c r="L49" s="166"/>
      <c r="M49" s="167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 spans="1:26" ht="12.75" customHeight="1" x14ac:dyDescent="0.3">
      <c r="A50" s="167"/>
      <c r="B50" s="177" t="s">
        <v>41</v>
      </c>
      <c r="C50" s="262">
        <v>0.1</v>
      </c>
      <c r="D50" s="263">
        <f>IF(ISNA(VLOOKUP(B50,'Listado de Artículos'!$B$16:$F$1328,5,0)),0,(VLOOKUP(B50,'Listado de Artículos'!$B$16:$F$1328,5,0)))</f>
        <v>5.95</v>
      </c>
      <c r="E50" s="262">
        <v>1</v>
      </c>
      <c r="F50" s="262">
        <v>1</v>
      </c>
      <c r="G50" s="264">
        <f>IF(E50&gt;0,(F50/E50),"")</f>
        <v>1</v>
      </c>
      <c r="H50" s="264">
        <f>IF(E50&gt;0,(100%-G50),"")</f>
        <v>0</v>
      </c>
      <c r="I50" s="265">
        <f>IF(C50&gt;0,(H50*C50/G50),"")</f>
        <v>0</v>
      </c>
      <c r="J50" s="265">
        <f>IF(C50&gt;0,(C50+I50),"")</f>
        <v>0.1</v>
      </c>
      <c r="K50" s="211">
        <f>IF(D50&gt;0,(D50*J50),"")</f>
        <v>0.59500000000000008</v>
      </c>
      <c r="L50" s="166"/>
      <c r="M50" s="167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 spans="1:26" ht="12.75" customHeight="1" x14ac:dyDescent="0.3">
      <c r="A51" s="167"/>
      <c r="B51" s="177"/>
      <c r="C51" s="262"/>
      <c r="D51" s="263"/>
      <c r="E51" s="262"/>
      <c r="F51" s="262"/>
      <c r="G51" s="264"/>
      <c r="H51" s="264"/>
      <c r="I51" s="265"/>
      <c r="J51" s="265"/>
      <c r="K51" s="211"/>
      <c r="L51" s="166"/>
      <c r="M51" s="167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 spans="1:26" ht="12.75" customHeight="1" x14ac:dyDescent="0.3">
      <c r="A52" s="167"/>
      <c r="B52" s="177"/>
      <c r="C52" s="262"/>
      <c r="D52" s="263"/>
      <c r="E52" s="262"/>
      <c r="F52" s="262"/>
      <c r="G52" s="264"/>
      <c r="H52" s="264"/>
      <c r="I52" s="265"/>
      <c r="J52" s="265"/>
      <c r="K52" s="211"/>
      <c r="L52" s="166"/>
      <c r="M52" s="167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12.75" customHeight="1" x14ac:dyDescent="0.3">
      <c r="A53" s="167"/>
      <c r="B53" s="174"/>
      <c r="C53" s="306"/>
      <c r="D53" s="304"/>
      <c r="E53" s="304"/>
      <c r="F53" s="304"/>
      <c r="G53" s="304"/>
      <c r="H53" s="304"/>
      <c r="I53" s="304"/>
      <c r="J53" s="166"/>
      <c r="K53" s="166"/>
      <c r="L53" s="166"/>
      <c r="M53" s="167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 spans="1:26" ht="12.75" customHeight="1" x14ac:dyDescent="0.3">
      <c r="A54" s="164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4"/>
    </row>
    <row r="55" spans="1:26" ht="12.75" customHeight="1" x14ac:dyDescent="0.3">
      <c r="A55" s="167"/>
      <c r="B55" s="166"/>
      <c r="C55" s="303" t="s">
        <v>405</v>
      </c>
      <c r="D55" s="304"/>
      <c r="E55" s="304"/>
      <c r="F55" s="304"/>
      <c r="G55" s="304"/>
      <c r="H55" s="304"/>
      <c r="I55" s="304"/>
      <c r="J55" s="304"/>
      <c r="K55" s="305"/>
      <c r="L55" s="166"/>
      <c r="M55" s="167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 spans="1:26" ht="12.75" customHeight="1" x14ac:dyDescent="0.3">
      <c r="A56" s="167"/>
      <c r="B56" s="166"/>
      <c r="C56" s="316" t="s">
        <v>406</v>
      </c>
      <c r="D56" s="304"/>
      <c r="E56" s="304"/>
      <c r="F56" s="304"/>
      <c r="G56" s="304"/>
      <c r="H56" s="304"/>
      <c r="I56" s="304"/>
      <c r="J56" s="304"/>
      <c r="K56" s="305"/>
      <c r="L56" s="166"/>
      <c r="M56" s="167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 spans="1:26" ht="12.75" customHeight="1" x14ac:dyDescent="0.3">
      <c r="A57" s="167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 spans="1:26" ht="12.75" customHeight="1" x14ac:dyDescent="0.3">
      <c r="A58" s="167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7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 spans="1:26" ht="12.75" customHeight="1" x14ac:dyDescent="0.3">
      <c r="A59" s="167"/>
      <c r="B59" s="167"/>
      <c r="C59" s="168" t="s">
        <v>407</v>
      </c>
      <c r="D59" s="309" t="s">
        <v>462</v>
      </c>
      <c r="E59" s="310"/>
      <c r="F59" s="310"/>
      <c r="G59" s="310"/>
      <c r="H59" s="310"/>
      <c r="I59" s="310"/>
      <c r="J59" s="310"/>
      <c r="K59" s="310"/>
      <c r="L59" s="166"/>
      <c r="M59" s="167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 spans="1:26" ht="12.75" customHeight="1" x14ac:dyDescent="0.3">
      <c r="A60" s="169"/>
      <c r="B60" s="169"/>
      <c r="C60" s="170" t="s">
        <v>409</v>
      </c>
      <c r="D60" s="311" t="s">
        <v>410</v>
      </c>
      <c r="E60" s="312"/>
      <c r="F60" s="312"/>
      <c r="G60" s="313"/>
      <c r="H60" s="319"/>
      <c r="I60" s="315"/>
      <c r="J60" s="307"/>
      <c r="K60" s="308"/>
      <c r="L60" s="167"/>
      <c r="M60" s="167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 spans="1:26" ht="12.75" customHeight="1" x14ac:dyDescent="0.3">
      <c r="A61" s="167"/>
      <c r="B61" s="166"/>
      <c r="C61" s="171" t="s">
        <v>411</v>
      </c>
      <c r="D61" s="207">
        <v>1</v>
      </c>
      <c r="E61" s="317" t="s">
        <v>412</v>
      </c>
      <c r="F61" s="318"/>
      <c r="G61" s="172">
        <f>SUM(K64:K66)</f>
        <v>15.269499999999999</v>
      </c>
      <c r="H61" s="314" t="s">
        <v>427</v>
      </c>
      <c r="I61" s="315"/>
      <c r="J61" s="261">
        <f>G61/D61</f>
        <v>15.269499999999999</v>
      </c>
      <c r="K61" s="270"/>
      <c r="L61" s="166"/>
      <c r="M61" s="167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 spans="1:26" ht="12.75" customHeight="1" x14ac:dyDescent="0.3">
      <c r="A62" s="167"/>
      <c r="B62" s="174"/>
      <c r="C62" s="174"/>
      <c r="D62" s="174"/>
      <c r="E62" s="174"/>
      <c r="F62" s="174"/>
      <c r="G62" s="174"/>
      <c r="H62" s="174"/>
      <c r="I62" s="174"/>
      <c r="J62" s="166"/>
      <c r="K62" s="166"/>
      <c r="L62" s="166"/>
      <c r="M62" s="167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 spans="1:26" ht="12.75" customHeight="1" x14ac:dyDescent="0.3">
      <c r="A63" s="167"/>
      <c r="B63" s="175" t="s">
        <v>414</v>
      </c>
      <c r="C63" s="219" t="s">
        <v>415</v>
      </c>
      <c r="D63" s="219" t="s">
        <v>416</v>
      </c>
      <c r="E63" s="219" t="s">
        <v>417</v>
      </c>
      <c r="F63" s="219" t="s">
        <v>418</v>
      </c>
      <c r="G63" s="219" t="s">
        <v>419</v>
      </c>
      <c r="H63" s="219" t="s">
        <v>420</v>
      </c>
      <c r="I63" s="219" t="s">
        <v>421</v>
      </c>
      <c r="J63" s="219" t="s">
        <v>422</v>
      </c>
      <c r="K63" s="220" t="s">
        <v>423</v>
      </c>
      <c r="L63" s="166"/>
      <c r="M63" s="167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 spans="1:26" ht="12.75" customHeight="1" x14ac:dyDescent="0.3">
      <c r="A64" s="167"/>
      <c r="B64" s="178" t="s">
        <v>154</v>
      </c>
      <c r="C64" s="262">
        <v>1</v>
      </c>
      <c r="D64" s="263">
        <v>9.9499999999999993</v>
      </c>
      <c r="E64" s="262">
        <v>1</v>
      </c>
      <c r="F64" s="262">
        <v>1</v>
      </c>
      <c r="G64" s="264">
        <f>IF(E64&gt;0,(F64/E64),"")</f>
        <v>1</v>
      </c>
      <c r="H64" s="264">
        <f>IF(E64&gt;0,(100%-G64),"")</f>
        <v>0</v>
      </c>
      <c r="I64" s="265">
        <f>IF(C64&gt;0,(H64*C64/G64),"")</f>
        <v>0</v>
      </c>
      <c r="J64" s="265">
        <f>IF(C64&gt;0,(C64+I64),"")</f>
        <v>1</v>
      </c>
      <c r="K64" s="211">
        <f>IF(D64&gt;0,(D64*J64),"")</f>
        <v>9.9499999999999993</v>
      </c>
      <c r="L64" s="166"/>
      <c r="M64" s="167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 spans="1:26" ht="12.75" customHeight="1" x14ac:dyDescent="0.3">
      <c r="A65" s="167"/>
      <c r="B65" s="177" t="s">
        <v>294</v>
      </c>
      <c r="C65" s="262">
        <v>0.15</v>
      </c>
      <c r="D65" s="263">
        <f>IF(ISNA(VLOOKUP(B65,'Listado de Artículos'!$B$16:$F$1328,5,0)),0,(VLOOKUP(B65,'Listado de Artículos'!$B$16:$F$1328,5,0)))</f>
        <v>14.63</v>
      </c>
      <c r="E65" s="262">
        <v>1</v>
      </c>
      <c r="F65" s="262">
        <v>1</v>
      </c>
      <c r="G65" s="264">
        <f>IF(E65&gt;0,(F65/E65),"")</f>
        <v>1</v>
      </c>
      <c r="H65" s="264">
        <f>IF(E65&gt;0,(100%-G65),"")</f>
        <v>0</v>
      </c>
      <c r="I65" s="265">
        <f>IF(C65&gt;0,(H65*C65/G65),"")</f>
        <v>0</v>
      </c>
      <c r="J65" s="265">
        <f>IF(C65&gt;0,(C65+I65),"")</f>
        <v>0.15</v>
      </c>
      <c r="K65" s="211">
        <f>IF(D65&gt;0,(D65*J65),"")</f>
        <v>2.1945000000000001</v>
      </c>
      <c r="L65" s="166"/>
      <c r="M65" s="167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 spans="1:26" ht="12.75" customHeight="1" x14ac:dyDescent="0.3">
      <c r="A66" s="167"/>
      <c r="B66" s="177" t="s">
        <v>63</v>
      </c>
      <c r="C66" s="262">
        <v>0.25</v>
      </c>
      <c r="D66" s="263">
        <f>IF(ISNA(VLOOKUP(B66,'Listado de Artículos'!$B$16:$F$1328,5,0)),0,(VLOOKUP(B66,'Listado de Artículos'!$B$16:$F$1328,5,0)))</f>
        <v>12.5</v>
      </c>
      <c r="E66" s="262">
        <v>1</v>
      </c>
      <c r="F66" s="262">
        <v>1</v>
      </c>
      <c r="G66" s="264">
        <f>IF(E66&gt;0,(F66/E66),"")</f>
        <v>1</v>
      </c>
      <c r="H66" s="264">
        <f>IF(E66&gt;0,(100%-G66),"")</f>
        <v>0</v>
      </c>
      <c r="I66" s="265">
        <f>IF(C66&gt;0,(H66*C66/G66),"")</f>
        <v>0</v>
      </c>
      <c r="J66" s="265">
        <f>IF(C66&gt;0,(C66+I66),"")</f>
        <v>0.25</v>
      </c>
      <c r="K66" s="211">
        <f>IF(D66&gt;0,(D66*J66),"")</f>
        <v>3.125</v>
      </c>
      <c r="L66" s="166"/>
      <c r="M66" s="167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 spans="1:26" ht="17.25" customHeight="1" x14ac:dyDescent="0.3">
      <c r="A67" s="167"/>
      <c r="B67" s="174"/>
      <c r="C67" s="306"/>
      <c r="D67" s="304"/>
      <c r="E67" s="304"/>
      <c r="F67" s="304"/>
      <c r="G67" s="304"/>
      <c r="H67" s="304"/>
      <c r="I67" s="304"/>
      <c r="J67" s="166"/>
      <c r="K67" s="166"/>
      <c r="L67" s="166"/>
      <c r="M67" s="167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 spans="1:26" ht="12.75" customHeight="1" x14ac:dyDescent="0.3">
      <c r="A68" s="164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4"/>
    </row>
    <row r="69" spans="1:26" ht="12.75" customHeight="1" x14ac:dyDescent="0.3">
      <c r="A69" s="167"/>
      <c r="B69" s="166"/>
      <c r="C69" s="303" t="s">
        <v>405</v>
      </c>
      <c r="D69" s="304"/>
      <c r="E69" s="304"/>
      <c r="F69" s="304"/>
      <c r="G69" s="304"/>
      <c r="H69" s="304"/>
      <c r="I69" s="304"/>
      <c r="J69" s="304"/>
      <c r="K69" s="305"/>
      <c r="L69" s="166"/>
      <c r="M69" s="167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 spans="1:26" ht="12.75" customHeight="1" x14ac:dyDescent="0.3">
      <c r="A70" s="167"/>
      <c r="B70" s="166"/>
      <c r="C70" s="316" t="s">
        <v>406</v>
      </c>
      <c r="D70" s="304"/>
      <c r="E70" s="304"/>
      <c r="F70" s="304"/>
      <c r="G70" s="304"/>
      <c r="H70" s="304"/>
      <c r="I70" s="304"/>
      <c r="J70" s="304"/>
      <c r="K70" s="305"/>
      <c r="L70" s="166"/>
      <c r="M70" s="167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 spans="1:26" ht="12.75" customHeight="1" x14ac:dyDescent="0.3">
      <c r="A71" s="167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7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 spans="1:26" ht="12.75" customHeight="1" x14ac:dyDescent="0.3">
      <c r="A72" s="167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7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spans="1:26" ht="12.75" customHeight="1" x14ac:dyDescent="0.3">
      <c r="A73" s="167"/>
      <c r="B73" s="167"/>
      <c r="C73" s="168" t="s">
        <v>407</v>
      </c>
      <c r="D73" s="309" t="s">
        <v>463</v>
      </c>
      <c r="E73" s="310"/>
      <c r="F73" s="310"/>
      <c r="G73" s="310"/>
      <c r="H73" s="310"/>
      <c r="I73" s="310"/>
      <c r="J73" s="310"/>
      <c r="K73" s="310"/>
      <c r="L73" s="166"/>
      <c r="M73" s="167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spans="1:26" ht="12.75" customHeight="1" x14ac:dyDescent="0.3">
      <c r="A74" s="169"/>
      <c r="B74" s="169"/>
      <c r="C74" s="170" t="s">
        <v>409</v>
      </c>
      <c r="D74" s="311" t="s">
        <v>410</v>
      </c>
      <c r="E74" s="312"/>
      <c r="F74" s="312"/>
      <c r="G74" s="313"/>
      <c r="H74" s="319"/>
      <c r="I74" s="315"/>
      <c r="J74" s="307"/>
      <c r="K74" s="308"/>
      <c r="L74" s="167"/>
      <c r="M74" s="167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spans="1:26" ht="12.75" customHeight="1" x14ac:dyDescent="0.3">
      <c r="A75" s="167"/>
      <c r="B75" s="166"/>
      <c r="C75" s="171" t="s">
        <v>411</v>
      </c>
      <c r="D75" s="260">
        <v>1</v>
      </c>
      <c r="E75" s="317" t="s">
        <v>412</v>
      </c>
      <c r="F75" s="318"/>
      <c r="G75" s="172">
        <f>SUM(K78:K83)</f>
        <v>0.92835999999999996</v>
      </c>
      <c r="H75" s="314" t="s">
        <v>430</v>
      </c>
      <c r="I75" s="315"/>
      <c r="J75" s="261">
        <f>G75/D75</f>
        <v>0.92835999999999996</v>
      </c>
      <c r="K75" s="270"/>
      <c r="L75" s="166"/>
      <c r="M75" s="167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spans="1:26" ht="12.75" customHeight="1" x14ac:dyDescent="0.3">
      <c r="A76" s="167"/>
      <c r="B76" s="174"/>
      <c r="C76" s="174"/>
      <c r="D76" s="174"/>
      <c r="E76" s="174"/>
      <c r="F76" s="174"/>
      <c r="G76" s="174"/>
      <c r="H76" s="174"/>
      <c r="I76" s="174"/>
      <c r="J76" s="166"/>
      <c r="K76" s="166"/>
      <c r="L76" s="166"/>
      <c r="M76" s="167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spans="1:26" ht="12.75" customHeight="1" x14ac:dyDescent="0.3">
      <c r="A77" s="167"/>
      <c r="B77" s="175" t="s">
        <v>414</v>
      </c>
      <c r="C77" s="219" t="s">
        <v>415</v>
      </c>
      <c r="D77" s="219" t="s">
        <v>416</v>
      </c>
      <c r="E77" s="219" t="s">
        <v>417</v>
      </c>
      <c r="F77" s="219" t="s">
        <v>418</v>
      </c>
      <c r="G77" s="219" t="s">
        <v>419</v>
      </c>
      <c r="H77" s="219" t="s">
        <v>420</v>
      </c>
      <c r="I77" s="219" t="s">
        <v>421</v>
      </c>
      <c r="J77" s="219" t="s">
        <v>422</v>
      </c>
      <c r="K77" s="220" t="s">
        <v>423</v>
      </c>
      <c r="L77" s="166"/>
      <c r="M77" s="167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 spans="1:26" ht="12.75" customHeight="1" x14ac:dyDescent="0.3">
      <c r="A78" s="167"/>
      <c r="B78" s="178" t="s">
        <v>253</v>
      </c>
      <c r="C78" s="262">
        <v>0.1</v>
      </c>
      <c r="D78" s="263">
        <f>IF(ISNA(VLOOKUP(B78,'Listado de Artículos'!$B$16:$F$1328,5,0)),0,(VLOOKUP(B78,'Listado de Artículos'!$B$16:$F$1328,5,0)))</f>
        <v>0.2</v>
      </c>
      <c r="E78" s="262">
        <v>1</v>
      </c>
      <c r="F78" s="262">
        <v>1</v>
      </c>
      <c r="G78" s="264">
        <f t="shared" ref="G78:G83" si="5">IF(E78&gt;0,(F78/E78),"")</f>
        <v>1</v>
      </c>
      <c r="H78" s="264">
        <f t="shared" ref="H78:H83" si="6">IF(E78&gt;0,(100%-G78),"")</f>
        <v>0</v>
      </c>
      <c r="I78" s="265">
        <f t="shared" ref="I78:I83" si="7">IF(C78&gt;0,(H78*C78/G78),"")</f>
        <v>0</v>
      </c>
      <c r="J78" s="265">
        <f t="shared" ref="J78:J83" si="8">IF(C78&gt;0,(C78+I78),"")</f>
        <v>0.1</v>
      </c>
      <c r="K78" s="211">
        <f t="shared" ref="K78:K83" si="9">IF(D78&gt;0,(D78*J78),"")</f>
        <v>2.0000000000000004E-2</v>
      </c>
      <c r="L78" s="166"/>
      <c r="M78" s="167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 spans="1:26" ht="12.75" customHeight="1" x14ac:dyDescent="0.3">
      <c r="A79" s="167"/>
      <c r="B79" s="191" t="s">
        <v>105</v>
      </c>
      <c r="C79" s="262">
        <v>0.09</v>
      </c>
      <c r="D79" s="263">
        <f>IF(ISNA(VLOOKUP(B79,'Listado de Artículos'!$B$16:$F$1328,5,0)),0,(VLOOKUP(B79,'Listado de Artículos'!$B$16:$F$1328,5,0)))</f>
        <v>6.15</v>
      </c>
      <c r="E79" s="262">
        <v>1</v>
      </c>
      <c r="F79" s="262">
        <v>1</v>
      </c>
      <c r="G79" s="264">
        <f t="shared" si="5"/>
        <v>1</v>
      </c>
      <c r="H79" s="264">
        <f t="shared" si="6"/>
        <v>0</v>
      </c>
      <c r="I79" s="265">
        <f t="shared" si="7"/>
        <v>0</v>
      </c>
      <c r="J79" s="265">
        <f t="shared" si="8"/>
        <v>0.09</v>
      </c>
      <c r="K79" s="211">
        <f t="shared" si="9"/>
        <v>0.55349999999999999</v>
      </c>
      <c r="L79" s="166"/>
      <c r="M79" s="167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 spans="1:26" ht="12.75" customHeight="1" x14ac:dyDescent="0.3">
      <c r="A80" s="167"/>
      <c r="B80" s="177" t="s">
        <v>284</v>
      </c>
      <c r="C80" s="262">
        <v>0.01</v>
      </c>
      <c r="D80" s="263">
        <f>IF(ISNA(VLOOKUP(B80,'Listado de Artículos'!$B$16:$F$1328,5,0)),0,(VLOOKUP(B80,'Listado de Artículos'!$B$16:$F$1328,5,0)))</f>
        <v>23.71</v>
      </c>
      <c r="E80" s="262">
        <v>1</v>
      </c>
      <c r="F80" s="262">
        <v>1</v>
      </c>
      <c r="G80" s="264">
        <f t="shared" si="5"/>
        <v>1</v>
      </c>
      <c r="H80" s="264">
        <f t="shared" si="6"/>
        <v>0</v>
      </c>
      <c r="I80" s="265">
        <f t="shared" si="7"/>
        <v>0</v>
      </c>
      <c r="J80" s="265">
        <f t="shared" si="8"/>
        <v>0.01</v>
      </c>
      <c r="K80" s="211">
        <f t="shared" si="9"/>
        <v>0.23710000000000001</v>
      </c>
      <c r="L80" s="166"/>
      <c r="M80" s="167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 spans="1:26" ht="12.75" customHeight="1" x14ac:dyDescent="0.3">
      <c r="A81" s="167"/>
      <c r="B81" s="177" t="s">
        <v>316</v>
      </c>
      <c r="C81" s="262">
        <v>8.0000000000000002E-3</v>
      </c>
      <c r="D81" s="263">
        <f>IF(ISNA(VLOOKUP(B81,'Listado de Artículos'!$B$16:$F$1328,5,0)),0,(VLOOKUP(B81,'Listado de Artículos'!$B$16:$F$1328,5,0)))</f>
        <v>3.5</v>
      </c>
      <c r="E81" s="262">
        <v>1</v>
      </c>
      <c r="F81" s="262">
        <v>1</v>
      </c>
      <c r="G81" s="264">
        <f t="shared" si="5"/>
        <v>1</v>
      </c>
      <c r="H81" s="264">
        <f t="shared" si="6"/>
        <v>0</v>
      </c>
      <c r="I81" s="265">
        <f t="shared" si="7"/>
        <v>0</v>
      </c>
      <c r="J81" s="265">
        <f t="shared" si="8"/>
        <v>8.0000000000000002E-3</v>
      </c>
      <c r="K81" s="211">
        <f t="shared" si="9"/>
        <v>2.8000000000000001E-2</v>
      </c>
      <c r="L81" s="166"/>
      <c r="M81" s="167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 spans="1:26" ht="12.75" customHeight="1" x14ac:dyDescent="0.3">
      <c r="A82" s="167"/>
      <c r="B82" s="177" t="s">
        <v>292</v>
      </c>
      <c r="C82" s="262">
        <v>2E-3</v>
      </c>
      <c r="D82" s="263">
        <f>IF(ISNA(VLOOKUP(B82,'Listado de Artículos'!$B$16:$F$1328,5,0)),0,(VLOOKUP(B82,'Listado de Artículos'!$B$16:$F$1328,5,0)))</f>
        <v>0.03</v>
      </c>
      <c r="E82" s="262">
        <v>1</v>
      </c>
      <c r="F82" s="262">
        <v>1</v>
      </c>
      <c r="G82" s="264">
        <f t="shared" si="5"/>
        <v>1</v>
      </c>
      <c r="H82" s="264">
        <f t="shared" si="6"/>
        <v>0</v>
      </c>
      <c r="I82" s="265">
        <f t="shared" si="7"/>
        <v>0</v>
      </c>
      <c r="J82" s="265">
        <f t="shared" si="8"/>
        <v>2E-3</v>
      </c>
      <c r="K82" s="211">
        <f t="shared" si="9"/>
        <v>6.0000000000000002E-5</v>
      </c>
      <c r="L82" s="166"/>
      <c r="M82" s="167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 spans="1:26" ht="12.75" customHeight="1" x14ac:dyDescent="0.3">
      <c r="A83" s="167"/>
      <c r="B83" s="177" t="s">
        <v>43</v>
      </c>
      <c r="C83" s="262">
        <v>0.01</v>
      </c>
      <c r="D83" s="263">
        <f>IF(ISNA(VLOOKUP(B83,'Listado de Artículos'!$B$16:$F$1328,5,0)),0,(VLOOKUP(B83,'Listado de Artículos'!$B$16:$F$1328,5,0)))</f>
        <v>8.9700000000000006</v>
      </c>
      <c r="E83" s="262">
        <v>1</v>
      </c>
      <c r="F83" s="262">
        <v>1</v>
      </c>
      <c r="G83" s="264">
        <f t="shared" si="5"/>
        <v>1</v>
      </c>
      <c r="H83" s="264">
        <f t="shared" si="6"/>
        <v>0</v>
      </c>
      <c r="I83" s="265">
        <f t="shared" si="7"/>
        <v>0</v>
      </c>
      <c r="J83" s="265">
        <f t="shared" si="8"/>
        <v>0.01</v>
      </c>
      <c r="K83" s="211">
        <f t="shared" si="9"/>
        <v>8.9700000000000002E-2</v>
      </c>
      <c r="L83" s="166"/>
      <c r="M83" s="167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 spans="1:26" ht="12.75" customHeight="1" x14ac:dyDescent="0.3">
      <c r="A84" s="164"/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4"/>
    </row>
    <row r="85" spans="1:26" ht="12.75" customHeight="1" x14ac:dyDescent="0.3">
      <c r="A85" s="167"/>
      <c r="B85" s="166"/>
      <c r="C85" s="303" t="s">
        <v>405</v>
      </c>
      <c r="D85" s="304"/>
      <c r="E85" s="304"/>
      <c r="F85" s="304"/>
      <c r="G85" s="304"/>
      <c r="H85" s="304"/>
      <c r="I85" s="304"/>
      <c r="J85" s="304"/>
      <c r="K85" s="305"/>
      <c r="L85" s="166"/>
      <c r="M85" s="167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 spans="1:26" ht="12.75" customHeight="1" x14ac:dyDescent="0.3">
      <c r="A86" s="167"/>
      <c r="B86" s="166"/>
      <c r="C86" s="316" t="s">
        <v>406</v>
      </c>
      <c r="D86" s="304"/>
      <c r="E86" s="304"/>
      <c r="F86" s="304"/>
      <c r="G86" s="304"/>
      <c r="H86" s="304"/>
      <c r="I86" s="304"/>
      <c r="J86" s="304"/>
      <c r="K86" s="305"/>
      <c r="L86" s="166"/>
      <c r="M86" s="167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 spans="1:26" ht="12.75" customHeight="1" x14ac:dyDescent="0.3">
      <c r="A87" s="167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7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 spans="1:26" ht="12.75" customHeight="1" x14ac:dyDescent="0.3">
      <c r="A88" s="167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7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 spans="1:26" ht="12.75" customHeight="1" x14ac:dyDescent="0.3">
      <c r="A89" s="167"/>
      <c r="B89" s="167"/>
      <c r="C89" s="168" t="s">
        <v>407</v>
      </c>
      <c r="D89" s="309" t="s">
        <v>463</v>
      </c>
      <c r="E89" s="310"/>
      <c r="F89" s="310"/>
      <c r="G89" s="310"/>
      <c r="H89" s="310"/>
      <c r="I89" s="310"/>
      <c r="J89" s="310"/>
      <c r="K89" s="310"/>
      <c r="L89" s="166"/>
      <c r="M89" s="167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 spans="1:26" ht="12.75" customHeight="1" x14ac:dyDescent="0.3">
      <c r="A90" s="169"/>
      <c r="B90" s="169"/>
      <c r="C90" s="170" t="s">
        <v>409</v>
      </c>
      <c r="D90" s="311" t="s">
        <v>410</v>
      </c>
      <c r="E90" s="312"/>
      <c r="F90" s="312"/>
      <c r="G90" s="313"/>
      <c r="H90" s="319"/>
      <c r="I90" s="315"/>
      <c r="J90" s="307"/>
      <c r="K90" s="308"/>
      <c r="L90" s="167"/>
      <c r="M90" s="167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 spans="1:26" ht="12.75" customHeight="1" x14ac:dyDescent="0.3">
      <c r="A91" s="167"/>
      <c r="B91" s="166"/>
      <c r="C91" s="171" t="s">
        <v>411</v>
      </c>
      <c r="D91" s="260">
        <v>1</v>
      </c>
      <c r="E91" s="317" t="s">
        <v>412</v>
      </c>
      <c r="F91" s="318"/>
      <c r="G91" s="172">
        <f>SUM(K94:K99)</f>
        <v>3.8033600000000001</v>
      </c>
      <c r="H91" s="314" t="s">
        <v>430</v>
      </c>
      <c r="I91" s="315"/>
      <c r="J91" s="261">
        <f>G91/D91</f>
        <v>3.8033600000000001</v>
      </c>
      <c r="K91" s="270"/>
      <c r="L91" s="166"/>
      <c r="M91" s="167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 spans="1:26" ht="12.75" customHeight="1" x14ac:dyDescent="0.3">
      <c r="A92" s="167"/>
      <c r="B92" s="174"/>
      <c r="C92" s="174"/>
      <c r="D92" s="174"/>
      <c r="E92" s="174"/>
      <c r="F92" s="174"/>
      <c r="G92" s="174"/>
      <c r="H92" s="174"/>
      <c r="I92" s="174"/>
      <c r="J92" s="166"/>
      <c r="K92" s="166"/>
      <c r="L92" s="166"/>
      <c r="M92" s="167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 spans="1:26" ht="12.75" customHeight="1" x14ac:dyDescent="0.3">
      <c r="A93" s="167"/>
      <c r="B93" s="175" t="s">
        <v>414</v>
      </c>
      <c r="C93" s="219" t="s">
        <v>415</v>
      </c>
      <c r="D93" s="219" t="s">
        <v>416</v>
      </c>
      <c r="E93" s="219" t="s">
        <v>417</v>
      </c>
      <c r="F93" s="219" t="s">
        <v>418</v>
      </c>
      <c r="G93" s="219" t="s">
        <v>419</v>
      </c>
      <c r="H93" s="219" t="s">
        <v>420</v>
      </c>
      <c r="I93" s="219" t="s">
        <v>421</v>
      </c>
      <c r="J93" s="219" t="s">
        <v>422</v>
      </c>
      <c r="K93" s="220" t="s">
        <v>423</v>
      </c>
      <c r="L93" s="166"/>
      <c r="M93" s="167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 spans="1:26" ht="12.75" customHeight="1" x14ac:dyDescent="0.3">
      <c r="A94" s="167"/>
      <c r="B94" s="178" t="s">
        <v>252</v>
      </c>
      <c r="C94" s="262">
        <v>0.1</v>
      </c>
      <c r="D94" s="263">
        <f>IF(ISNA(VLOOKUP(B94,'Listado de Artículos'!$B$16:$F$1328,5,0)),0,(VLOOKUP(B94,'Listado de Artículos'!$B$16:$F$1328,5,0)))</f>
        <v>28.95</v>
      </c>
      <c r="E94" s="262">
        <v>1</v>
      </c>
      <c r="F94" s="262">
        <v>1</v>
      </c>
      <c r="G94" s="264">
        <f t="shared" ref="G94:G99" si="10">IF(E94&gt;0,(F94/E94),"")</f>
        <v>1</v>
      </c>
      <c r="H94" s="264">
        <f t="shared" ref="H94:H99" si="11">IF(E94&gt;0,(100%-G94),"")</f>
        <v>0</v>
      </c>
      <c r="I94" s="265">
        <f t="shared" ref="I94:I99" si="12">IF(C94&gt;0,(H94*C94/G94),"")</f>
        <v>0</v>
      </c>
      <c r="J94" s="265">
        <f t="shared" ref="J94:J99" si="13">IF(C94&gt;0,(C94+I94),"")</f>
        <v>0.1</v>
      </c>
      <c r="K94" s="211">
        <f t="shared" ref="K94:K99" si="14">IF(D94&gt;0,(D94*J94),"")</f>
        <v>2.895</v>
      </c>
      <c r="L94" s="166"/>
      <c r="M94" s="167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 spans="1:26" ht="29.25" customHeight="1" x14ac:dyDescent="0.3">
      <c r="A95" s="167"/>
      <c r="B95" s="191" t="s">
        <v>105</v>
      </c>
      <c r="C95" s="262">
        <v>0.09</v>
      </c>
      <c r="D95" s="263">
        <f>IF(ISNA(VLOOKUP(B95,'Listado de Artículos'!$B$16:$F$1328,5,0)),0,(VLOOKUP(B95,'Listado de Artículos'!$B$16:$F$1328,5,0)))</f>
        <v>6.15</v>
      </c>
      <c r="E95" s="262">
        <v>1</v>
      </c>
      <c r="F95" s="262">
        <v>1</v>
      </c>
      <c r="G95" s="264">
        <f t="shared" si="10"/>
        <v>1</v>
      </c>
      <c r="H95" s="264">
        <f t="shared" si="11"/>
        <v>0</v>
      </c>
      <c r="I95" s="265">
        <f t="shared" si="12"/>
        <v>0</v>
      </c>
      <c r="J95" s="265">
        <f t="shared" si="13"/>
        <v>0.09</v>
      </c>
      <c r="K95" s="211">
        <f t="shared" si="14"/>
        <v>0.55349999999999999</v>
      </c>
      <c r="L95" s="166"/>
      <c r="M95" s="167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</row>
    <row r="96" spans="1:26" ht="12.75" customHeight="1" x14ac:dyDescent="0.3">
      <c r="A96" s="167"/>
      <c r="B96" s="177" t="s">
        <v>284</v>
      </c>
      <c r="C96" s="262">
        <v>0.01</v>
      </c>
      <c r="D96" s="263">
        <f>IF(ISNA(VLOOKUP(B96,'Listado de Artículos'!$B$16:$F$1328,5,0)),0,(VLOOKUP(B96,'Listado de Artículos'!$B$16:$F$1328,5,0)))</f>
        <v>23.71</v>
      </c>
      <c r="E96" s="262">
        <v>1</v>
      </c>
      <c r="F96" s="262">
        <v>1</v>
      </c>
      <c r="G96" s="264">
        <f t="shared" si="10"/>
        <v>1</v>
      </c>
      <c r="H96" s="264">
        <f t="shared" si="11"/>
        <v>0</v>
      </c>
      <c r="I96" s="265">
        <f t="shared" si="12"/>
        <v>0</v>
      </c>
      <c r="J96" s="265">
        <f t="shared" si="13"/>
        <v>0.01</v>
      </c>
      <c r="K96" s="211">
        <f t="shared" si="14"/>
        <v>0.23710000000000001</v>
      </c>
      <c r="L96" s="166"/>
      <c r="M96" s="167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 spans="1:26" ht="12.75" customHeight="1" x14ac:dyDescent="0.3">
      <c r="A97" s="167"/>
      <c r="B97" s="177" t="s">
        <v>316</v>
      </c>
      <c r="C97" s="262">
        <v>8.0000000000000002E-3</v>
      </c>
      <c r="D97" s="263">
        <f>IF(ISNA(VLOOKUP(B97,'Listado de Artículos'!$B$16:$F$1328,5,0)),0,(VLOOKUP(B97,'Listado de Artículos'!$B$16:$F$1328,5,0)))</f>
        <v>3.5</v>
      </c>
      <c r="E97" s="262">
        <v>1</v>
      </c>
      <c r="F97" s="262">
        <v>1</v>
      </c>
      <c r="G97" s="264">
        <f t="shared" si="10"/>
        <v>1</v>
      </c>
      <c r="H97" s="264">
        <f t="shared" si="11"/>
        <v>0</v>
      </c>
      <c r="I97" s="265">
        <f t="shared" si="12"/>
        <v>0</v>
      </c>
      <c r="J97" s="265">
        <f t="shared" si="13"/>
        <v>8.0000000000000002E-3</v>
      </c>
      <c r="K97" s="211">
        <f t="shared" si="14"/>
        <v>2.8000000000000001E-2</v>
      </c>
      <c r="L97" s="166"/>
      <c r="M97" s="167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 spans="1:26" ht="12.75" customHeight="1" x14ac:dyDescent="0.3">
      <c r="A98" s="167"/>
      <c r="B98" s="177" t="s">
        <v>292</v>
      </c>
      <c r="C98" s="262">
        <v>2E-3</v>
      </c>
      <c r="D98" s="263">
        <f>IF(ISNA(VLOOKUP(B98,'Listado de Artículos'!$B$16:$F$1328,5,0)),0,(VLOOKUP(B98,'Listado de Artículos'!$B$16:$F$1328,5,0)))</f>
        <v>0.03</v>
      </c>
      <c r="E98" s="262">
        <v>1</v>
      </c>
      <c r="F98" s="262">
        <v>1</v>
      </c>
      <c r="G98" s="264">
        <f t="shared" si="10"/>
        <v>1</v>
      </c>
      <c r="H98" s="264">
        <f t="shared" si="11"/>
        <v>0</v>
      </c>
      <c r="I98" s="265">
        <f t="shared" si="12"/>
        <v>0</v>
      </c>
      <c r="J98" s="265">
        <f t="shared" si="13"/>
        <v>2E-3</v>
      </c>
      <c r="K98" s="211">
        <f t="shared" si="14"/>
        <v>6.0000000000000002E-5</v>
      </c>
      <c r="L98" s="166"/>
      <c r="M98" s="167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 spans="1:26" ht="12.75" customHeight="1" x14ac:dyDescent="0.3">
      <c r="A99" s="167"/>
      <c r="B99" s="177" t="s">
        <v>43</v>
      </c>
      <c r="C99" s="262">
        <v>0.01</v>
      </c>
      <c r="D99" s="263">
        <f>IF(ISNA(VLOOKUP(B99,'Listado de Artículos'!$B$16:$F$1328,5,0)),0,(VLOOKUP(B99,'Listado de Artículos'!$B$16:$F$1328,5,0)))</f>
        <v>8.9700000000000006</v>
      </c>
      <c r="E99" s="262">
        <v>1</v>
      </c>
      <c r="F99" s="262">
        <v>1</v>
      </c>
      <c r="G99" s="264">
        <f t="shared" si="10"/>
        <v>1</v>
      </c>
      <c r="H99" s="264">
        <f t="shared" si="11"/>
        <v>0</v>
      </c>
      <c r="I99" s="265">
        <f t="shared" si="12"/>
        <v>0</v>
      </c>
      <c r="J99" s="265">
        <f t="shared" si="13"/>
        <v>0.01</v>
      </c>
      <c r="K99" s="211">
        <f t="shared" si="14"/>
        <v>8.9700000000000002E-2</v>
      </c>
      <c r="L99" s="166"/>
      <c r="M99" s="167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</row>
    <row r="100" spans="1:26" ht="12.75" customHeight="1" x14ac:dyDescent="0.3">
      <c r="A100" s="164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4"/>
    </row>
    <row r="101" spans="1:26" ht="12.75" customHeight="1" x14ac:dyDescent="0.3">
      <c r="A101" s="167"/>
      <c r="B101" s="166"/>
      <c r="C101" s="303" t="s">
        <v>405</v>
      </c>
      <c r="D101" s="304"/>
      <c r="E101" s="304"/>
      <c r="F101" s="304"/>
      <c r="G101" s="304"/>
      <c r="H101" s="304"/>
      <c r="I101" s="304"/>
      <c r="J101" s="304"/>
      <c r="K101" s="305"/>
      <c r="L101" s="166"/>
      <c r="M101" s="167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 spans="1:26" ht="12.75" customHeight="1" x14ac:dyDescent="0.3">
      <c r="A102" s="167"/>
      <c r="B102" s="166"/>
      <c r="C102" s="316" t="s">
        <v>406</v>
      </c>
      <c r="D102" s="304"/>
      <c r="E102" s="304"/>
      <c r="F102" s="304"/>
      <c r="G102" s="304"/>
      <c r="H102" s="304"/>
      <c r="I102" s="304"/>
      <c r="J102" s="304"/>
      <c r="K102" s="305"/>
      <c r="L102" s="166"/>
      <c r="M102" s="167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 spans="1:26" ht="12.75" customHeight="1" x14ac:dyDescent="0.3">
      <c r="A103" s="167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7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 spans="1:26" ht="12.75" customHeight="1" x14ac:dyDescent="0.3">
      <c r="A104" s="167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7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 spans="1:26" ht="12.75" customHeight="1" x14ac:dyDescent="0.3">
      <c r="A105" s="167"/>
      <c r="B105" s="167"/>
      <c r="C105" s="168" t="s">
        <v>407</v>
      </c>
      <c r="D105" s="309" t="s">
        <v>431</v>
      </c>
      <c r="E105" s="310"/>
      <c r="F105" s="310"/>
      <c r="G105" s="310"/>
      <c r="H105" s="310"/>
      <c r="I105" s="310"/>
      <c r="J105" s="310"/>
      <c r="K105" s="310"/>
      <c r="L105" s="166"/>
      <c r="M105" s="167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 spans="1:26" ht="12.75" customHeight="1" x14ac:dyDescent="0.3">
      <c r="A106" s="169"/>
      <c r="B106" s="169"/>
      <c r="C106" s="170" t="s">
        <v>409</v>
      </c>
      <c r="D106" s="311" t="s">
        <v>410</v>
      </c>
      <c r="E106" s="312"/>
      <c r="F106" s="312"/>
      <c r="G106" s="313"/>
      <c r="H106" s="319"/>
      <c r="I106" s="315"/>
      <c r="J106" s="307"/>
      <c r="K106" s="308"/>
      <c r="L106" s="167"/>
      <c r="M106" s="167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 spans="1:26" ht="12.75" customHeight="1" x14ac:dyDescent="0.3">
      <c r="A107" s="167"/>
      <c r="B107" s="166"/>
      <c r="C107" s="171" t="s">
        <v>411</v>
      </c>
      <c r="D107" s="260">
        <v>1</v>
      </c>
      <c r="E107" s="317" t="s">
        <v>412</v>
      </c>
      <c r="F107" s="318"/>
      <c r="G107" s="172">
        <f>SUM(K110:K114)</f>
        <v>2.8770600000000002</v>
      </c>
      <c r="H107" s="314" t="s">
        <v>432</v>
      </c>
      <c r="I107" s="315"/>
      <c r="J107" s="261">
        <f>G107/D107</f>
        <v>2.8770600000000002</v>
      </c>
      <c r="K107" s="270"/>
      <c r="L107" s="166"/>
      <c r="M107" s="167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 spans="1:26" ht="12.75" customHeight="1" x14ac:dyDescent="0.3">
      <c r="A108" s="167"/>
      <c r="B108" s="174"/>
      <c r="C108" s="174"/>
      <c r="D108" s="174"/>
      <c r="E108" s="174"/>
      <c r="F108" s="174"/>
      <c r="G108" s="174"/>
      <c r="H108" s="174"/>
      <c r="I108" s="174"/>
      <c r="J108" s="166"/>
      <c r="K108" s="166"/>
      <c r="L108" s="166"/>
      <c r="M108" s="167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 spans="1:26" ht="12.75" customHeight="1" x14ac:dyDescent="0.3">
      <c r="A109" s="167"/>
      <c r="B109" s="175" t="s">
        <v>414</v>
      </c>
      <c r="C109" s="219" t="s">
        <v>415</v>
      </c>
      <c r="D109" s="219" t="s">
        <v>416</v>
      </c>
      <c r="E109" s="219" t="s">
        <v>417</v>
      </c>
      <c r="F109" s="219" t="s">
        <v>418</v>
      </c>
      <c r="G109" s="219" t="s">
        <v>419</v>
      </c>
      <c r="H109" s="219" t="s">
        <v>420</v>
      </c>
      <c r="I109" s="219" t="s">
        <v>421</v>
      </c>
      <c r="J109" s="219" t="s">
        <v>422</v>
      </c>
      <c r="K109" s="220" t="s">
        <v>423</v>
      </c>
      <c r="L109" s="166"/>
      <c r="M109" s="167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 spans="1:26" ht="12.75" customHeight="1" x14ac:dyDescent="0.3">
      <c r="A110" s="167"/>
      <c r="B110" s="192" t="s">
        <v>280</v>
      </c>
      <c r="C110" s="262">
        <v>0.24</v>
      </c>
      <c r="D110" s="263">
        <f>IF(ISNA(VLOOKUP(B110,'Listado de Artículos'!$B$16:$F$1328,5,0)),0,(VLOOKUP(B110,'Listado de Artículos'!$B$16:$F$1328,5,0)))</f>
        <v>2</v>
      </c>
      <c r="E110" s="262">
        <v>1</v>
      </c>
      <c r="F110" s="262">
        <v>1</v>
      </c>
      <c r="G110" s="264">
        <f>IF(E110&gt;0,(F110/E110),"")</f>
        <v>1</v>
      </c>
      <c r="H110" s="264">
        <f>IF(E110&gt;0,(100%-G110),"")</f>
        <v>0</v>
      </c>
      <c r="I110" s="265">
        <f>IF(C110&gt;0,(H110*C110/G110),"")</f>
        <v>0</v>
      </c>
      <c r="J110" s="265">
        <f>IF(C110&gt;0,(C110+I110),"")</f>
        <v>0.24</v>
      </c>
      <c r="K110" s="211">
        <f>IF(D110&gt;0,(D110*J110),"")</f>
        <v>0.48</v>
      </c>
      <c r="L110" s="166"/>
      <c r="M110" s="167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</row>
    <row r="111" spans="1:26" ht="12.75" customHeight="1" x14ac:dyDescent="0.3">
      <c r="A111" s="167"/>
      <c r="B111" s="177" t="s">
        <v>63</v>
      </c>
      <c r="C111" s="262">
        <v>0.18</v>
      </c>
      <c r="D111" s="263">
        <f>IF(ISNA(VLOOKUP(B111,'Listado de Artículos'!$B$16:$F$1328,5,0)),0,(VLOOKUP(B111,'Listado de Artículos'!$B$16:$F$1328,5,0)))</f>
        <v>12.5</v>
      </c>
      <c r="E111" s="262">
        <v>1</v>
      </c>
      <c r="F111" s="262">
        <v>1</v>
      </c>
      <c r="G111" s="264">
        <f>IF(E111&gt;0,(F111/E111),"")</f>
        <v>1</v>
      </c>
      <c r="H111" s="264">
        <f>IF(E111&gt;0,(100%-G111),"")</f>
        <v>0</v>
      </c>
      <c r="I111" s="265">
        <f>IF(C111&gt;0,(H111*C111/G111),"")</f>
        <v>0</v>
      </c>
      <c r="J111" s="265">
        <f>IF(C111&gt;0,(C111+I111),"")</f>
        <v>0.18</v>
      </c>
      <c r="K111" s="211">
        <f>IF(D111&gt;0,(D111*J111),"")</f>
        <v>2.25</v>
      </c>
      <c r="L111" s="166"/>
      <c r="M111" s="167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 spans="1:26" ht="12.75" customHeight="1" x14ac:dyDescent="0.3">
      <c r="A112" s="167"/>
      <c r="B112" s="177" t="s">
        <v>41</v>
      </c>
      <c r="C112" s="262">
        <v>0.02</v>
      </c>
      <c r="D112" s="263">
        <f>IF(ISNA(VLOOKUP(B112,'Listado de Artículos'!$B$16:$F$1328,5,0)),0,(VLOOKUP(B112,'Listado de Artículos'!$B$16:$F$1328,5,0)))</f>
        <v>5.95</v>
      </c>
      <c r="E112" s="262">
        <v>1</v>
      </c>
      <c r="F112" s="262">
        <v>1</v>
      </c>
      <c r="G112" s="264">
        <f>IF(E112&gt;0,(F112/E112),"")</f>
        <v>1</v>
      </c>
      <c r="H112" s="264">
        <f>IF(E112&gt;0,(100%-G112),"")</f>
        <v>0</v>
      </c>
      <c r="I112" s="265">
        <f>IF(C112&gt;0,(H112*C112/G112),"")</f>
        <v>0</v>
      </c>
      <c r="J112" s="265">
        <f>IF(C112&gt;0,(C112+I112),"")</f>
        <v>0.02</v>
      </c>
      <c r="K112" s="211">
        <f>IF(D112&gt;0,(D112*J112),"")</f>
        <v>0.11900000000000001</v>
      </c>
      <c r="L112" s="166"/>
      <c r="M112" s="167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 spans="1:26" ht="12.75" customHeight="1" x14ac:dyDescent="0.3">
      <c r="A113" s="167"/>
      <c r="B113" s="177" t="s">
        <v>316</v>
      </c>
      <c r="C113" s="262">
        <v>8.0000000000000002E-3</v>
      </c>
      <c r="D113" s="263">
        <f>IF(ISNA(VLOOKUP(B113,'Listado de Artículos'!$B$16:$F$1328,5,0)),0,(VLOOKUP(B113,'Listado de Artículos'!$B$16:$F$1328,5,0)))</f>
        <v>3.5</v>
      </c>
      <c r="E113" s="262">
        <v>1</v>
      </c>
      <c r="F113" s="262">
        <v>1</v>
      </c>
      <c r="G113" s="264">
        <f>IF(E113&gt;0,(F113/E113),"")</f>
        <v>1</v>
      </c>
      <c r="H113" s="264">
        <f>IF(E113&gt;0,(100%-G113),"")</f>
        <v>0</v>
      </c>
      <c r="I113" s="265">
        <f>IF(C113&gt;0,(H113*C113/G113),"")</f>
        <v>0</v>
      </c>
      <c r="J113" s="265">
        <f>IF(C113&gt;0,(C113+I113),"")</f>
        <v>8.0000000000000002E-3</v>
      </c>
      <c r="K113" s="211">
        <f>IF(D113&gt;0,(D113*J113),"")</f>
        <v>2.8000000000000001E-2</v>
      </c>
      <c r="L113" s="166"/>
      <c r="M113" s="167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 spans="1:26" ht="12.75" customHeight="1" x14ac:dyDescent="0.3">
      <c r="A114" s="167"/>
      <c r="B114" s="177" t="s">
        <v>292</v>
      </c>
      <c r="C114" s="262">
        <v>2E-3</v>
      </c>
      <c r="D114" s="263">
        <f>IF(ISNA(VLOOKUP(B114,'Listado de Artículos'!$B$16:$F$1328,5,0)),0,(VLOOKUP(B114,'Listado de Artículos'!$B$16:$F$1328,5,0)))</f>
        <v>0.03</v>
      </c>
      <c r="E114" s="262">
        <v>1</v>
      </c>
      <c r="F114" s="262">
        <v>1</v>
      </c>
      <c r="G114" s="264">
        <f>IF(E114&gt;0,(F114/E114),"")</f>
        <v>1</v>
      </c>
      <c r="H114" s="264">
        <f>IF(E114&gt;0,(100%-G114),"")</f>
        <v>0</v>
      </c>
      <c r="I114" s="265">
        <f>IF(C114&gt;0,(H114*C114/G114),"")</f>
        <v>0</v>
      </c>
      <c r="J114" s="265">
        <f>IF(C114&gt;0,(C114+I114),"")</f>
        <v>2E-3</v>
      </c>
      <c r="K114" s="211">
        <f>IF(D114&gt;0,(D114*J114),"")</f>
        <v>6.0000000000000002E-5</v>
      </c>
      <c r="L114" s="166"/>
      <c r="M114" s="167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 spans="1:26" ht="12.75" customHeight="1" x14ac:dyDescent="0.3">
      <c r="A115" s="164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4"/>
    </row>
    <row r="116" spans="1:26" ht="12.75" customHeight="1" x14ac:dyDescent="0.3">
      <c r="A116" s="167"/>
      <c r="B116" s="166"/>
      <c r="C116" s="303" t="s">
        <v>405</v>
      </c>
      <c r="D116" s="304"/>
      <c r="E116" s="304"/>
      <c r="F116" s="304"/>
      <c r="G116" s="304"/>
      <c r="H116" s="304"/>
      <c r="I116" s="304"/>
      <c r="J116" s="304"/>
      <c r="K116" s="305"/>
      <c r="L116" s="166"/>
      <c r="M116" s="167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</row>
    <row r="117" spans="1:26" ht="12.75" customHeight="1" x14ac:dyDescent="0.3">
      <c r="A117" s="167"/>
      <c r="B117" s="166"/>
      <c r="C117" s="316" t="s">
        <v>406</v>
      </c>
      <c r="D117" s="304"/>
      <c r="E117" s="304"/>
      <c r="F117" s="304"/>
      <c r="G117" s="304"/>
      <c r="H117" s="304"/>
      <c r="I117" s="304"/>
      <c r="J117" s="304"/>
      <c r="K117" s="305"/>
      <c r="L117" s="166"/>
      <c r="M117" s="167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</row>
    <row r="118" spans="1:26" ht="12.75" customHeight="1" x14ac:dyDescent="0.3">
      <c r="A118" s="167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7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 spans="1:26" ht="12.75" customHeight="1" x14ac:dyDescent="0.3">
      <c r="A119" s="167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7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 spans="1:26" ht="12.75" customHeight="1" x14ac:dyDescent="0.3">
      <c r="A120" s="167"/>
      <c r="B120" s="167"/>
      <c r="C120" s="168" t="s">
        <v>407</v>
      </c>
      <c r="D120" s="309" t="s">
        <v>433</v>
      </c>
      <c r="E120" s="310"/>
      <c r="F120" s="310"/>
      <c r="G120" s="310"/>
      <c r="H120" s="310"/>
      <c r="I120" s="310"/>
      <c r="J120" s="310"/>
      <c r="K120" s="310"/>
      <c r="L120" s="166"/>
      <c r="M120" s="167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 spans="1:26" ht="12.75" customHeight="1" x14ac:dyDescent="0.3">
      <c r="A121" s="169"/>
      <c r="B121" s="169"/>
      <c r="C121" s="170" t="s">
        <v>409</v>
      </c>
      <c r="D121" s="311" t="s">
        <v>410</v>
      </c>
      <c r="E121" s="312"/>
      <c r="F121" s="312"/>
      <c r="G121" s="313"/>
      <c r="H121" s="319"/>
      <c r="I121" s="315"/>
      <c r="J121" s="307"/>
      <c r="K121" s="308"/>
      <c r="L121" s="167"/>
      <c r="M121" s="167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 spans="1:26" ht="12.75" customHeight="1" x14ac:dyDescent="0.3">
      <c r="A122" s="167"/>
      <c r="B122" s="166"/>
      <c r="C122" s="171" t="s">
        <v>411</v>
      </c>
      <c r="D122" s="260">
        <v>1</v>
      </c>
      <c r="E122" s="317" t="s">
        <v>412</v>
      </c>
      <c r="F122" s="318"/>
      <c r="G122" s="172">
        <f>SUM(K125:K131)</f>
        <v>2.8824000000000005</v>
      </c>
      <c r="H122" s="314" t="s">
        <v>432</v>
      </c>
      <c r="I122" s="315"/>
      <c r="J122" s="261">
        <f>G122/D122</f>
        <v>2.8824000000000005</v>
      </c>
      <c r="K122" s="270"/>
      <c r="L122" s="166"/>
      <c r="M122" s="167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 spans="1:26" ht="12.75" customHeight="1" x14ac:dyDescent="0.3">
      <c r="A123" s="167"/>
      <c r="B123" s="174"/>
      <c r="C123" s="174"/>
      <c r="D123" s="174"/>
      <c r="E123" s="174"/>
      <c r="F123" s="174"/>
      <c r="G123" s="174"/>
      <c r="H123" s="174"/>
      <c r="I123" s="174"/>
      <c r="J123" s="166"/>
      <c r="K123" s="166"/>
      <c r="L123" s="166"/>
      <c r="M123" s="167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 spans="1:26" ht="12.75" customHeight="1" x14ac:dyDescent="0.3">
      <c r="A124" s="167"/>
      <c r="B124" s="175" t="s">
        <v>414</v>
      </c>
      <c r="C124" s="219" t="s">
        <v>415</v>
      </c>
      <c r="D124" s="219" t="s">
        <v>416</v>
      </c>
      <c r="E124" s="219" t="s">
        <v>417</v>
      </c>
      <c r="F124" s="219" t="s">
        <v>418</v>
      </c>
      <c r="G124" s="219" t="s">
        <v>419</v>
      </c>
      <c r="H124" s="219" t="s">
        <v>420</v>
      </c>
      <c r="I124" s="219" t="s">
        <v>421</v>
      </c>
      <c r="J124" s="219" t="s">
        <v>422</v>
      </c>
      <c r="K124" s="220" t="s">
        <v>423</v>
      </c>
      <c r="L124" s="166"/>
      <c r="M124" s="167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 spans="1:26" ht="12.75" customHeight="1" x14ac:dyDescent="0.3">
      <c r="A125" s="167"/>
      <c r="B125" s="192" t="s">
        <v>106</v>
      </c>
      <c r="C125" s="262">
        <v>7.0000000000000007E-2</v>
      </c>
      <c r="D125" s="263">
        <f>IF(ISNA(VLOOKUP(B125,'Listado de Artículos'!$B$16:$F$1328,5,0)),0,(VLOOKUP(B125,'Listado de Artículos'!$B$16:$F$1328,5,0)))</f>
        <v>7.6</v>
      </c>
      <c r="E125" s="262">
        <v>1</v>
      </c>
      <c r="F125" s="262">
        <v>1</v>
      </c>
      <c r="G125" s="264">
        <f t="shared" ref="G125:G131" si="15">IF(E125&gt;0,(F125/E125),"")</f>
        <v>1</v>
      </c>
      <c r="H125" s="264">
        <f t="shared" ref="H125:H131" si="16">IF(E125&gt;0,(100%-G125),"")</f>
        <v>0</v>
      </c>
      <c r="I125" s="265">
        <f t="shared" ref="I125:I131" si="17">IF(C125&gt;0,(H125*C125/G125),"")</f>
        <v>0</v>
      </c>
      <c r="J125" s="265">
        <f t="shared" ref="J125:J131" si="18">IF(C125&gt;0,(C125+I125),"")</f>
        <v>7.0000000000000007E-2</v>
      </c>
      <c r="K125" s="211">
        <f t="shared" ref="K125:K131" si="19">IF(D125&gt;0,(D125*J125),"")</f>
        <v>0.53200000000000003</v>
      </c>
      <c r="L125" s="166"/>
      <c r="M125" s="167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 spans="1:26" ht="12.75" customHeight="1" x14ac:dyDescent="0.3">
      <c r="A126" s="167"/>
      <c r="B126" s="177" t="s">
        <v>148</v>
      </c>
      <c r="C126" s="262">
        <v>7.4999999999999997E-2</v>
      </c>
      <c r="D126" s="263">
        <f>IF(ISNA(VLOOKUP(B126,'Listado de Artículos'!$B$16:$F$1328,5,0)),0,(VLOOKUP(B126,'Listado de Artículos'!$B$16:$F$1328,5,0)))</f>
        <v>12.5</v>
      </c>
      <c r="E126" s="262">
        <v>1</v>
      </c>
      <c r="F126" s="262">
        <v>1</v>
      </c>
      <c r="G126" s="264">
        <f t="shared" si="15"/>
        <v>1</v>
      </c>
      <c r="H126" s="264">
        <f t="shared" si="16"/>
        <v>0</v>
      </c>
      <c r="I126" s="265">
        <f t="shared" si="17"/>
        <v>0</v>
      </c>
      <c r="J126" s="265">
        <f t="shared" si="18"/>
        <v>7.4999999999999997E-2</v>
      </c>
      <c r="K126" s="211">
        <f t="shared" si="19"/>
        <v>0.9375</v>
      </c>
      <c r="L126" s="193" t="s">
        <v>434</v>
      </c>
      <c r="M126" s="167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 spans="1:26" ht="12.75" customHeight="1" x14ac:dyDescent="0.3">
      <c r="A127" s="167"/>
      <c r="B127" s="177" t="s">
        <v>160</v>
      </c>
      <c r="C127" s="262">
        <v>7.4999999999999997E-2</v>
      </c>
      <c r="D127" s="263">
        <f>IF(ISNA(VLOOKUP(B127,'Listado de Artículos'!$B$16:$F$1328,5,0)),0,(VLOOKUP(B127,'Listado de Artículos'!$B$16:$F$1328,5,0)))</f>
        <v>16.398</v>
      </c>
      <c r="E127" s="262">
        <v>1</v>
      </c>
      <c r="F127" s="262">
        <v>1</v>
      </c>
      <c r="G127" s="264">
        <f t="shared" si="15"/>
        <v>1</v>
      </c>
      <c r="H127" s="264">
        <f t="shared" si="16"/>
        <v>0</v>
      </c>
      <c r="I127" s="265">
        <f t="shared" si="17"/>
        <v>0</v>
      </c>
      <c r="J127" s="265">
        <f t="shared" si="18"/>
        <v>7.4999999999999997E-2</v>
      </c>
      <c r="K127" s="211">
        <f t="shared" si="19"/>
        <v>1.2298499999999999</v>
      </c>
      <c r="L127" s="193" t="s">
        <v>435</v>
      </c>
      <c r="M127" s="167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</row>
    <row r="128" spans="1:26" ht="12.75" customHeight="1" x14ac:dyDescent="0.3">
      <c r="A128" s="167"/>
      <c r="B128" s="177" t="s">
        <v>316</v>
      </c>
      <c r="C128" s="262">
        <v>0.01</v>
      </c>
      <c r="D128" s="263">
        <f>IF(ISNA(VLOOKUP(B128,'Listado de Artículos'!$B$16:$F$1328,5,0)),0,(VLOOKUP(B128,'Listado de Artículos'!$B$16:$F$1328,5,0)))</f>
        <v>3.5</v>
      </c>
      <c r="E128" s="262">
        <v>1</v>
      </c>
      <c r="F128" s="262">
        <v>1</v>
      </c>
      <c r="G128" s="264">
        <f t="shared" si="15"/>
        <v>1</v>
      </c>
      <c r="H128" s="264">
        <f t="shared" si="16"/>
        <v>0</v>
      </c>
      <c r="I128" s="265">
        <f t="shared" si="17"/>
        <v>0</v>
      </c>
      <c r="J128" s="265">
        <f t="shared" si="18"/>
        <v>0.01</v>
      </c>
      <c r="K128" s="211">
        <f t="shared" si="19"/>
        <v>3.5000000000000003E-2</v>
      </c>
      <c r="L128" s="166"/>
      <c r="M128" s="167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</row>
    <row r="129" spans="1:26" ht="12.75" customHeight="1" x14ac:dyDescent="0.3">
      <c r="A129" s="167"/>
      <c r="B129" s="177" t="s">
        <v>292</v>
      </c>
      <c r="C129" s="262">
        <v>5.0000000000000001E-3</v>
      </c>
      <c r="D129" s="263">
        <f>IF(ISNA(VLOOKUP(B129,'Listado de Artículos'!$B$16:$F$1328,5,0)),0,(VLOOKUP(B129,'Listado de Artículos'!$B$16:$F$1328,5,0)))</f>
        <v>0.03</v>
      </c>
      <c r="E129" s="262">
        <v>1</v>
      </c>
      <c r="F129" s="262">
        <v>1</v>
      </c>
      <c r="G129" s="264">
        <f t="shared" si="15"/>
        <v>1</v>
      </c>
      <c r="H129" s="264">
        <f t="shared" si="16"/>
        <v>0</v>
      </c>
      <c r="I129" s="265">
        <f t="shared" si="17"/>
        <v>0</v>
      </c>
      <c r="J129" s="265">
        <f t="shared" si="18"/>
        <v>5.0000000000000001E-3</v>
      </c>
      <c r="K129" s="211">
        <f t="shared" si="19"/>
        <v>1.4999999999999999E-4</v>
      </c>
      <c r="L129" s="166"/>
      <c r="M129" s="167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 spans="1:26" ht="12.75" customHeight="1" x14ac:dyDescent="0.3">
      <c r="A130" s="167"/>
      <c r="B130" s="177" t="s">
        <v>41</v>
      </c>
      <c r="C130" s="262">
        <v>0.02</v>
      </c>
      <c r="D130" s="263">
        <f>IF(ISNA(VLOOKUP(B130,'Listado de Artículos'!$B$16:$F$1328,5,0)),0,(VLOOKUP(B130,'Listado de Artículos'!$B$16:$F$1328,5,0)))</f>
        <v>5.95</v>
      </c>
      <c r="E130" s="262">
        <v>1</v>
      </c>
      <c r="F130" s="262">
        <v>1</v>
      </c>
      <c r="G130" s="264">
        <f t="shared" si="15"/>
        <v>1</v>
      </c>
      <c r="H130" s="264">
        <f t="shared" si="16"/>
        <v>0</v>
      </c>
      <c r="I130" s="265">
        <f t="shared" si="17"/>
        <v>0</v>
      </c>
      <c r="J130" s="265">
        <f t="shared" si="18"/>
        <v>0.02</v>
      </c>
      <c r="K130" s="211">
        <f t="shared" si="19"/>
        <v>0.11900000000000001</v>
      </c>
      <c r="L130" s="166"/>
      <c r="M130" s="167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 spans="1:26" ht="12.75" customHeight="1" x14ac:dyDescent="0.3">
      <c r="A131" s="167"/>
      <c r="B131" s="177" t="s">
        <v>317</v>
      </c>
      <c r="C131" s="262">
        <v>5.0000000000000001E-3</v>
      </c>
      <c r="D131" s="263">
        <f>IF(ISNA(VLOOKUP(B131,'Listado de Artículos'!$B$16:$F$1328,5,0)),0,(VLOOKUP(B131,'Listado de Artículos'!$B$16:$F$1328,5,0)))</f>
        <v>5.78</v>
      </c>
      <c r="E131" s="262">
        <v>1</v>
      </c>
      <c r="F131" s="262">
        <v>1</v>
      </c>
      <c r="G131" s="264">
        <f t="shared" si="15"/>
        <v>1</v>
      </c>
      <c r="H131" s="264">
        <f t="shared" si="16"/>
        <v>0</v>
      </c>
      <c r="I131" s="265">
        <f t="shared" si="17"/>
        <v>0</v>
      </c>
      <c r="J131" s="265">
        <f t="shared" si="18"/>
        <v>5.0000000000000001E-3</v>
      </c>
      <c r="K131" s="211">
        <f t="shared" si="19"/>
        <v>2.8900000000000002E-2</v>
      </c>
      <c r="L131" s="166"/>
      <c r="M131" s="167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 spans="1:26" ht="12.75" customHeight="1" x14ac:dyDescent="0.3">
      <c r="A132" s="164"/>
      <c r="B132" s="165"/>
      <c r="C132" s="165"/>
      <c r="D132" s="165"/>
      <c r="E132" s="165"/>
      <c r="F132" s="165"/>
      <c r="G132" s="165"/>
      <c r="H132" s="165"/>
      <c r="I132" s="165"/>
      <c r="J132" s="165"/>
      <c r="K132" s="165"/>
      <c r="L132" s="164"/>
    </row>
    <row r="133" spans="1:26" ht="12.75" customHeight="1" x14ac:dyDescent="0.3">
      <c r="A133" s="164"/>
      <c r="B133" s="165"/>
      <c r="C133" s="165"/>
      <c r="D133" s="165"/>
      <c r="E133" s="165"/>
      <c r="F133" s="165"/>
      <c r="G133" s="165"/>
      <c r="H133" s="165"/>
      <c r="I133" s="165"/>
      <c r="J133" s="165"/>
      <c r="K133" s="165"/>
      <c r="L133" s="164"/>
    </row>
    <row r="134" spans="1:26" ht="12.75" customHeight="1" x14ac:dyDescent="0.3">
      <c r="A134" s="167"/>
      <c r="B134" s="166"/>
      <c r="C134" s="303" t="s">
        <v>405</v>
      </c>
      <c r="D134" s="304"/>
      <c r="E134" s="304"/>
      <c r="F134" s="304"/>
      <c r="G134" s="304"/>
      <c r="H134" s="304"/>
      <c r="I134" s="304"/>
      <c r="J134" s="304"/>
      <c r="K134" s="305"/>
      <c r="L134" s="166"/>
      <c r="M134" s="167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 spans="1:26" ht="12.75" customHeight="1" x14ac:dyDescent="0.3">
      <c r="A135" s="167"/>
      <c r="B135" s="166"/>
      <c r="C135" s="316" t="s">
        <v>406</v>
      </c>
      <c r="D135" s="304"/>
      <c r="E135" s="304"/>
      <c r="F135" s="304"/>
      <c r="G135" s="304"/>
      <c r="H135" s="304"/>
      <c r="I135" s="304"/>
      <c r="J135" s="304"/>
      <c r="K135" s="305"/>
      <c r="L135" s="166"/>
      <c r="M135" s="167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 spans="1:26" ht="12.75" customHeight="1" x14ac:dyDescent="0.3">
      <c r="A136" s="167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7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 spans="1:26" ht="12.75" customHeight="1" x14ac:dyDescent="0.3">
      <c r="A137" s="167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7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 spans="1:26" ht="12.75" customHeight="1" x14ac:dyDescent="0.3">
      <c r="A138" s="167"/>
      <c r="B138" s="167"/>
      <c r="C138" s="168" t="s">
        <v>407</v>
      </c>
      <c r="D138" s="309" t="s">
        <v>436</v>
      </c>
      <c r="E138" s="310"/>
      <c r="F138" s="310"/>
      <c r="G138" s="310"/>
      <c r="H138" s="310"/>
      <c r="I138" s="310"/>
      <c r="J138" s="310"/>
      <c r="K138" s="310"/>
      <c r="L138" s="166"/>
      <c r="M138" s="167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 spans="1:26" ht="12.75" customHeight="1" x14ac:dyDescent="0.3">
      <c r="A139" s="169"/>
      <c r="B139" s="169"/>
      <c r="C139" s="170" t="s">
        <v>409</v>
      </c>
      <c r="D139" s="311" t="s">
        <v>410</v>
      </c>
      <c r="E139" s="312"/>
      <c r="F139" s="312"/>
      <c r="G139" s="313"/>
      <c r="H139" s="319"/>
      <c r="I139" s="315"/>
      <c r="J139" s="307"/>
      <c r="K139" s="308"/>
      <c r="L139" s="167"/>
      <c r="M139" s="167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 spans="1:26" ht="12.75" customHeight="1" x14ac:dyDescent="0.3">
      <c r="A140" s="167"/>
      <c r="B140" s="166"/>
      <c r="C140" s="171" t="s">
        <v>415</v>
      </c>
      <c r="D140" s="194">
        <v>15</v>
      </c>
      <c r="E140" s="317" t="s">
        <v>412</v>
      </c>
      <c r="F140" s="318"/>
      <c r="G140" s="172">
        <f>SUM(K143:K154)</f>
        <v>346.63800000000003</v>
      </c>
      <c r="H140" s="314" t="s">
        <v>437</v>
      </c>
      <c r="I140" s="315"/>
      <c r="J140" s="261">
        <f>G140/D140</f>
        <v>23.109200000000001</v>
      </c>
      <c r="K140" s="270"/>
      <c r="L140" s="166"/>
      <c r="M140" s="167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 spans="1:26" ht="12.75" customHeight="1" x14ac:dyDescent="0.3">
      <c r="A141" s="167"/>
      <c r="B141" s="174"/>
      <c r="C141" s="174"/>
      <c r="D141" s="174"/>
      <c r="E141" s="174"/>
      <c r="F141" s="174"/>
      <c r="G141" s="174"/>
      <c r="H141" s="174"/>
      <c r="I141" s="174"/>
      <c r="J141" s="166"/>
      <c r="K141" s="166"/>
      <c r="L141" s="166"/>
      <c r="M141" s="167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 spans="1:26" ht="12.75" customHeight="1" x14ac:dyDescent="0.3">
      <c r="A142" s="167"/>
      <c r="B142" s="175" t="s">
        <v>414</v>
      </c>
      <c r="C142" s="219" t="s">
        <v>415</v>
      </c>
      <c r="D142" s="219" t="s">
        <v>416</v>
      </c>
      <c r="E142" s="219" t="s">
        <v>417</v>
      </c>
      <c r="F142" s="219" t="s">
        <v>418</v>
      </c>
      <c r="G142" s="219" t="s">
        <v>419</v>
      </c>
      <c r="H142" s="219" t="s">
        <v>420</v>
      </c>
      <c r="I142" s="219" t="s">
        <v>421</v>
      </c>
      <c r="J142" s="219" t="s">
        <v>422</v>
      </c>
      <c r="K142" s="220" t="s">
        <v>423</v>
      </c>
      <c r="L142" s="166"/>
      <c r="M142" s="167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 spans="1:26" ht="12.75" customHeight="1" x14ac:dyDescent="0.3">
      <c r="A143" s="167"/>
      <c r="B143" s="192" t="s">
        <v>347</v>
      </c>
      <c r="C143" s="262">
        <v>12</v>
      </c>
      <c r="D143" s="263">
        <f>IF(ISNA(VLOOKUP(B143,'Listado de Artículos'!$B$16:$F$1328,5,0)),0,(VLOOKUP(B143,'Listado de Artículos'!$B$16:$F$1328,5,0)))</f>
        <v>13.9</v>
      </c>
      <c r="E143" s="262">
        <v>1</v>
      </c>
      <c r="F143" s="262">
        <v>1</v>
      </c>
      <c r="G143" s="264">
        <f t="shared" ref="G143:G154" si="20">IF(E143&gt;0,(F143/E143),"")</f>
        <v>1</v>
      </c>
      <c r="H143" s="264">
        <f t="shared" ref="H143:H154" si="21">IF(E143&gt;0,(100%-G143),"")</f>
        <v>0</v>
      </c>
      <c r="I143" s="265">
        <f t="shared" ref="I143:I154" si="22">IF(C143&gt;0,(H143*C143/G143),"")</f>
        <v>0</v>
      </c>
      <c r="J143" s="265">
        <f t="shared" ref="J143:J154" si="23">IF(C143&gt;0,(C143+I143),"")</f>
        <v>12</v>
      </c>
      <c r="K143" s="211">
        <f t="shared" ref="K143:K154" si="24">IF(D143&gt;0,(D143*J143),"")</f>
        <v>166.8</v>
      </c>
      <c r="L143" s="166"/>
      <c r="M143" s="167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 spans="1:26" ht="12.75" customHeight="1" x14ac:dyDescent="0.3">
      <c r="A144" s="167"/>
      <c r="B144" s="177" t="s">
        <v>57</v>
      </c>
      <c r="C144" s="262">
        <v>1.4</v>
      </c>
      <c r="D144" s="263">
        <f>IF(ISNA(VLOOKUP(B144,'Listado de Artículos'!$B$16:$F$1328,5,0)),0,(VLOOKUP(B144,'Listado de Artículos'!$B$16:$F$1328,5,0)))</f>
        <v>2</v>
      </c>
      <c r="E144" s="262">
        <v>1</v>
      </c>
      <c r="F144" s="262">
        <v>1</v>
      </c>
      <c r="G144" s="264">
        <f t="shared" si="20"/>
        <v>1</v>
      </c>
      <c r="H144" s="264">
        <f t="shared" si="21"/>
        <v>0</v>
      </c>
      <c r="I144" s="265">
        <f t="shared" si="22"/>
        <v>0</v>
      </c>
      <c r="J144" s="265">
        <f t="shared" si="23"/>
        <v>1.4</v>
      </c>
      <c r="K144" s="211">
        <f t="shared" si="24"/>
        <v>2.8</v>
      </c>
      <c r="L144" s="166"/>
      <c r="M144" s="167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 spans="1:26" ht="12.75" customHeight="1" x14ac:dyDescent="0.3">
      <c r="A145" s="167"/>
      <c r="B145" s="177" t="s">
        <v>41</v>
      </c>
      <c r="C145" s="262">
        <v>3</v>
      </c>
      <c r="D145" s="263">
        <f>IF(ISNA(VLOOKUP(B145,'Listado de Artículos'!$B$16:$F$1328,5,0)),0,(VLOOKUP(B145,'Listado de Artículos'!$B$16:$F$1328,5,0)))</f>
        <v>5.95</v>
      </c>
      <c r="E145" s="262">
        <v>1</v>
      </c>
      <c r="F145" s="262">
        <v>1</v>
      </c>
      <c r="G145" s="264">
        <f t="shared" si="20"/>
        <v>1</v>
      </c>
      <c r="H145" s="264">
        <f t="shared" si="21"/>
        <v>0</v>
      </c>
      <c r="I145" s="265">
        <f t="shared" si="22"/>
        <v>0</v>
      </c>
      <c r="J145" s="265">
        <f t="shared" si="23"/>
        <v>3</v>
      </c>
      <c r="K145" s="211">
        <f t="shared" si="24"/>
        <v>17.850000000000001</v>
      </c>
      <c r="L145" s="166"/>
      <c r="M145" s="167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 spans="1:26" ht="12.75" customHeight="1" x14ac:dyDescent="0.3">
      <c r="A146" s="167"/>
      <c r="B146" s="177" t="s">
        <v>43</v>
      </c>
      <c r="C146" s="262">
        <v>3</v>
      </c>
      <c r="D146" s="263">
        <f>IF(ISNA(VLOOKUP(B146,'Listado de Artículos'!$B$16:$F$1328,5,0)),0,(VLOOKUP(B146,'Listado de Artículos'!$B$16:$F$1328,5,0)))</f>
        <v>8.9700000000000006</v>
      </c>
      <c r="E146" s="262">
        <v>1</v>
      </c>
      <c r="F146" s="262">
        <v>1</v>
      </c>
      <c r="G146" s="264">
        <f t="shared" si="20"/>
        <v>1</v>
      </c>
      <c r="H146" s="264">
        <f t="shared" si="21"/>
        <v>0</v>
      </c>
      <c r="I146" s="265">
        <f t="shared" si="22"/>
        <v>0</v>
      </c>
      <c r="J146" s="265">
        <f t="shared" si="23"/>
        <v>3</v>
      </c>
      <c r="K146" s="211">
        <f t="shared" si="24"/>
        <v>26.910000000000004</v>
      </c>
      <c r="L146" s="166"/>
      <c r="M146" s="167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 spans="1:26" ht="12.75" customHeight="1" x14ac:dyDescent="0.3">
      <c r="A147" s="167"/>
      <c r="B147" s="177" t="s">
        <v>66</v>
      </c>
      <c r="C147" s="262">
        <v>1.5</v>
      </c>
      <c r="D147" s="263">
        <f>IF(ISNA(VLOOKUP(B147,'Listado de Artículos'!$B$16:$F$1328,5,0)),0,(VLOOKUP(B147,'Listado de Artículos'!$B$16:$F$1328,5,0)))</f>
        <v>85.56</v>
      </c>
      <c r="E147" s="262">
        <v>1</v>
      </c>
      <c r="F147" s="262">
        <v>1</v>
      </c>
      <c r="G147" s="264">
        <f t="shared" si="20"/>
        <v>1</v>
      </c>
      <c r="H147" s="264">
        <f t="shared" si="21"/>
        <v>0</v>
      </c>
      <c r="I147" s="265">
        <f t="shared" si="22"/>
        <v>0</v>
      </c>
      <c r="J147" s="265">
        <f t="shared" si="23"/>
        <v>1.5</v>
      </c>
      <c r="K147" s="211">
        <f t="shared" si="24"/>
        <v>128.34</v>
      </c>
      <c r="L147" s="166"/>
      <c r="M147" s="167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 spans="1:26" ht="12.75" customHeight="1" x14ac:dyDescent="0.3">
      <c r="A148" s="167"/>
      <c r="B148" s="177" t="s">
        <v>85</v>
      </c>
      <c r="C148" s="262">
        <v>1.5</v>
      </c>
      <c r="D148" s="263">
        <f>IF(ISNA(VLOOKUP(B148,'Listado de Artículos'!$B$16:$F$1328,5,0)),0,(VLOOKUP(B148,'Listado de Artículos'!$B$16:$F$1328,5,0)))</f>
        <v>1.1499999999999999</v>
      </c>
      <c r="E148" s="262">
        <v>1</v>
      </c>
      <c r="F148" s="262">
        <v>1</v>
      </c>
      <c r="G148" s="264">
        <f t="shared" si="20"/>
        <v>1</v>
      </c>
      <c r="H148" s="264">
        <f t="shared" si="21"/>
        <v>0</v>
      </c>
      <c r="I148" s="265">
        <f t="shared" si="22"/>
        <v>0</v>
      </c>
      <c r="J148" s="265">
        <f t="shared" si="23"/>
        <v>1.5</v>
      </c>
      <c r="K148" s="211">
        <f t="shared" si="24"/>
        <v>1.7249999999999999</v>
      </c>
      <c r="L148" s="166"/>
      <c r="M148" s="167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 spans="1:26" ht="12.75" customHeight="1" x14ac:dyDescent="0.3">
      <c r="A149" s="167"/>
      <c r="B149" s="177" t="s">
        <v>291</v>
      </c>
      <c r="C149" s="262">
        <v>2.5000000000000001E-2</v>
      </c>
      <c r="D149" s="263">
        <f>IF(ISNA(VLOOKUP(B149,'Listado de Artículos'!$B$16:$F$1328,5,0)),0,(VLOOKUP(B149,'Listado de Artículos'!$B$16:$F$1328,5,0)))</f>
        <v>23</v>
      </c>
      <c r="E149" s="262">
        <v>1</v>
      </c>
      <c r="F149" s="262">
        <v>1</v>
      </c>
      <c r="G149" s="264">
        <f t="shared" si="20"/>
        <v>1</v>
      </c>
      <c r="H149" s="264">
        <f t="shared" si="21"/>
        <v>0</v>
      </c>
      <c r="I149" s="265">
        <f t="shared" si="22"/>
        <v>0</v>
      </c>
      <c r="J149" s="265">
        <f t="shared" si="23"/>
        <v>2.5000000000000001E-2</v>
      </c>
      <c r="K149" s="211">
        <f t="shared" si="24"/>
        <v>0.57500000000000007</v>
      </c>
      <c r="L149" s="166"/>
      <c r="M149" s="167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 spans="1:26" ht="12.75" customHeight="1" x14ac:dyDescent="0.3">
      <c r="A150" s="167"/>
      <c r="B150" s="177" t="s">
        <v>355</v>
      </c>
      <c r="C150" s="262">
        <v>0.25</v>
      </c>
      <c r="D150" s="263">
        <f>IF(ISNA(VLOOKUP(B150,'Listado de Artículos'!$B$16:$F$1328,5,0)),0,(VLOOKUP(B150,'Listado de Artículos'!$B$16:$F$1328,5,0)))</f>
        <v>1</v>
      </c>
      <c r="E150" s="262">
        <v>1</v>
      </c>
      <c r="F150" s="262">
        <v>1</v>
      </c>
      <c r="G150" s="264">
        <f t="shared" si="20"/>
        <v>1</v>
      </c>
      <c r="H150" s="264">
        <f t="shared" si="21"/>
        <v>0</v>
      </c>
      <c r="I150" s="265">
        <f t="shared" si="22"/>
        <v>0</v>
      </c>
      <c r="J150" s="265">
        <f t="shared" si="23"/>
        <v>0.25</v>
      </c>
      <c r="K150" s="211">
        <f t="shared" si="24"/>
        <v>0.25</v>
      </c>
      <c r="L150" s="166"/>
      <c r="M150" s="167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</row>
    <row r="151" spans="1:26" ht="12.75" customHeight="1" x14ac:dyDescent="0.3">
      <c r="A151" s="167"/>
      <c r="B151" s="177" t="s">
        <v>354</v>
      </c>
      <c r="C151" s="262">
        <v>0.05</v>
      </c>
      <c r="D151" s="263">
        <f>IF(ISNA(VLOOKUP(B151,'Listado de Artículos'!$B$16:$F$1328,5,0)),0,(VLOOKUP(B151,'Listado de Artículos'!$B$16:$F$1328,5,0)))</f>
        <v>4.5</v>
      </c>
      <c r="E151" s="262">
        <v>1</v>
      </c>
      <c r="F151" s="262">
        <v>1</v>
      </c>
      <c r="G151" s="264">
        <f t="shared" si="20"/>
        <v>1</v>
      </c>
      <c r="H151" s="264">
        <f t="shared" si="21"/>
        <v>0</v>
      </c>
      <c r="I151" s="265">
        <f t="shared" si="22"/>
        <v>0</v>
      </c>
      <c r="J151" s="265">
        <f t="shared" si="23"/>
        <v>0.05</v>
      </c>
      <c r="K151" s="211">
        <f t="shared" si="24"/>
        <v>0.22500000000000001</v>
      </c>
      <c r="L151" s="166"/>
      <c r="M151" s="167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 spans="1:26" ht="12.75" customHeight="1" x14ac:dyDescent="0.3">
      <c r="A152" s="167"/>
      <c r="B152" s="177" t="s">
        <v>135</v>
      </c>
      <c r="C152" s="262">
        <v>0.01</v>
      </c>
      <c r="D152" s="263">
        <f>IF(ISNA(VLOOKUP(B152,'Listado de Artículos'!$B$16:$F$1328,5,0)),0,(VLOOKUP(B152,'Listado de Artículos'!$B$16:$F$1328,5,0)))</f>
        <v>1.55</v>
      </c>
      <c r="E152" s="262">
        <v>1</v>
      </c>
      <c r="F152" s="262">
        <v>1</v>
      </c>
      <c r="G152" s="264">
        <f t="shared" si="20"/>
        <v>1</v>
      </c>
      <c r="H152" s="264">
        <f t="shared" si="21"/>
        <v>0</v>
      </c>
      <c r="I152" s="265">
        <f t="shared" si="22"/>
        <v>0</v>
      </c>
      <c r="J152" s="265">
        <f t="shared" si="23"/>
        <v>0.01</v>
      </c>
      <c r="K152" s="211">
        <f t="shared" si="24"/>
        <v>1.5500000000000002E-2</v>
      </c>
      <c r="L152" s="166"/>
      <c r="M152" s="167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 spans="1:26" ht="12.75" customHeight="1" x14ac:dyDescent="0.3">
      <c r="A153" s="167"/>
      <c r="B153" s="177" t="s">
        <v>316</v>
      </c>
      <c r="C153" s="262">
        <v>0.06</v>
      </c>
      <c r="D153" s="263">
        <f>IF(ISNA(VLOOKUP(B153,'Listado de Artículos'!$B$16:$F$1328,5,0)),0,(VLOOKUP(B153,'Listado de Artículos'!$B$16:$F$1328,5,0)))</f>
        <v>3.5</v>
      </c>
      <c r="E153" s="262">
        <v>1</v>
      </c>
      <c r="F153" s="262">
        <v>1</v>
      </c>
      <c r="G153" s="264">
        <f t="shared" si="20"/>
        <v>1</v>
      </c>
      <c r="H153" s="264">
        <f t="shared" si="21"/>
        <v>0</v>
      </c>
      <c r="I153" s="265">
        <f t="shared" si="22"/>
        <v>0</v>
      </c>
      <c r="J153" s="265">
        <f t="shared" si="23"/>
        <v>0.06</v>
      </c>
      <c r="K153" s="211">
        <f t="shared" si="24"/>
        <v>0.21</v>
      </c>
      <c r="L153" s="166"/>
      <c r="M153" s="167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 spans="1:26" ht="12.75" customHeight="1" x14ac:dyDescent="0.3">
      <c r="A154" s="167"/>
      <c r="B154" s="177" t="s">
        <v>125</v>
      </c>
      <c r="C154" s="262">
        <v>0.05</v>
      </c>
      <c r="D154" s="263">
        <f>IF(ISNA(VLOOKUP(B154,'Listado de Artículos'!$B$16:$F$1328,5,0)),0,(VLOOKUP(B154,'Listado de Artículos'!$B$16:$F$1328,5,0)))</f>
        <v>18.75</v>
      </c>
      <c r="E154" s="262">
        <v>1</v>
      </c>
      <c r="F154" s="262">
        <v>1</v>
      </c>
      <c r="G154" s="264">
        <f t="shared" si="20"/>
        <v>1</v>
      </c>
      <c r="H154" s="264">
        <f t="shared" si="21"/>
        <v>0</v>
      </c>
      <c r="I154" s="265">
        <f t="shared" si="22"/>
        <v>0</v>
      </c>
      <c r="J154" s="265">
        <f t="shared" si="23"/>
        <v>0.05</v>
      </c>
      <c r="K154" s="211">
        <f t="shared" si="24"/>
        <v>0.9375</v>
      </c>
      <c r="L154" s="166"/>
      <c r="M154" s="167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</row>
    <row r="155" spans="1:26" ht="12.75" customHeight="1" x14ac:dyDescent="0.3">
      <c r="A155" s="164"/>
      <c r="B155" s="165"/>
      <c r="C155" s="165"/>
      <c r="D155" s="165"/>
      <c r="E155" s="165"/>
      <c r="F155" s="165"/>
      <c r="G155" s="165"/>
      <c r="H155" s="165"/>
      <c r="I155" s="165"/>
      <c r="J155" s="165"/>
      <c r="K155" s="165"/>
      <c r="L155" s="164"/>
    </row>
    <row r="156" spans="1:26" ht="12.75" customHeight="1" x14ac:dyDescent="0.3">
      <c r="A156" s="167"/>
      <c r="B156" s="166"/>
      <c r="C156" s="303" t="s">
        <v>405</v>
      </c>
      <c r="D156" s="304"/>
      <c r="E156" s="304"/>
      <c r="F156" s="304"/>
      <c r="G156" s="304"/>
      <c r="H156" s="304"/>
      <c r="I156" s="304"/>
      <c r="J156" s="304"/>
      <c r="K156" s="305"/>
      <c r="L156" s="166"/>
      <c r="M156" s="167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 spans="1:26" ht="12.75" customHeight="1" x14ac:dyDescent="0.3">
      <c r="A157" s="167"/>
      <c r="B157" s="166"/>
      <c r="C157" s="316" t="s">
        <v>406</v>
      </c>
      <c r="D157" s="304"/>
      <c r="E157" s="304"/>
      <c r="F157" s="304"/>
      <c r="G157" s="304"/>
      <c r="H157" s="304"/>
      <c r="I157" s="304"/>
      <c r="J157" s="304"/>
      <c r="K157" s="305"/>
      <c r="L157" s="166"/>
      <c r="M157" s="167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 spans="1:26" ht="12.75" customHeight="1" x14ac:dyDescent="0.3">
      <c r="A158" s="167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7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 spans="1:26" ht="12.75" customHeight="1" x14ac:dyDescent="0.3">
      <c r="A159" s="167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7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 spans="1:26" ht="12.75" customHeight="1" x14ac:dyDescent="0.3">
      <c r="A160" s="167"/>
      <c r="B160" s="167"/>
      <c r="C160" s="168" t="s">
        <v>407</v>
      </c>
      <c r="D160" s="309" t="s">
        <v>438</v>
      </c>
      <c r="E160" s="310"/>
      <c r="F160" s="310"/>
      <c r="G160" s="310"/>
      <c r="H160" s="310"/>
      <c r="I160" s="310"/>
      <c r="J160" s="310"/>
      <c r="K160" s="310"/>
      <c r="L160" s="166"/>
      <c r="M160" s="167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 spans="1:26" ht="12.75" customHeight="1" x14ac:dyDescent="0.3">
      <c r="A161" s="169"/>
      <c r="B161" s="169"/>
      <c r="C161" s="170" t="s">
        <v>409</v>
      </c>
      <c r="D161" s="311" t="s">
        <v>410</v>
      </c>
      <c r="E161" s="312"/>
      <c r="F161" s="312"/>
      <c r="G161" s="313"/>
      <c r="H161" s="319"/>
      <c r="I161" s="315"/>
      <c r="J161" s="307"/>
      <c r="K161" s="308"/>
      <c r="L161" s="167"/>
      <c r="M161" s="167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 spans="1:26" ht="12.75" customHeight="1" x14ac:dyDescent="0.3">
      <c r="A162" s="167"/>
      <c r="B162" s="166"/>
      <c r="C162" s="171" t="s">
        <v>411</v>
      </c>
      <c r="D162" s="260">
        <v>1</v>
      </c>
      <c r="E162" s="317" t="s">
        <v>412</v>
      </c>
      <c r="F162" s="318"/>
      <c r="G162" s="172">
        <f>SUM(K165:K169)</f>
        <v>14.112677777777776</v>
      </c>
      <c r="H162" s="314" t="s">
        <v>432</v>
      </c>
      <c r="I162" s="315"/>
      <c r="J162" s="261">
        <f>G162/D162</f>
        <v>14.112677777777776</v>
      </c>
      <c r="K162" s="270"/>
      <c r="L162" s="166"/>
      <c r="M162" s="167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 spans="1:26" ht="12.75" customHeight="1" x14ac:dyDescent="0.3">
      <c r="A163" s="167"/>
      <c r="B163" s="174"/>
      <c r="C163" s="174"/>
      <c r="D163" s="174"/>
      <c r="E163" s="174"/>
      <c r="F163" s="174"/>
      <c r="G163" s="174"/>
      <c r="H163" s="174"/>
      <c r="I163" s="174"/>
      <c r="J163" s="166"/>
      <c r="K163" s="166"/>
      <c r="L163" s="166"/>
      <c r="M163" s="167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 spans="1:26" ht="12.75" customHeight="1" x14ac:dyDescent="0.3">
      <c r="A164" s="167"/>
      <c r="B164" s="175" t="s">
        <v>414</v>
      </c>
      <c r="C164" s="219" t="s">
        <v>415</v>
      </c>
      <c r="D164" s="219" t="s">
        <v>416</v>
      </c>
      <c r="E164" s="219" t="s">
        <v>417</v>
      </c>
      <c r="F164" s="219" t="s">
        <v>418</v>
      </c>
      <c r="G164" s="219" t="s">
        <v>419</v>
      </c>
      <c r="H164" s="219" t="s">
        <v>420</v>
      </c>
      <c r="I164" s="219" t="s">
        <v>421</v>
      </c>
      <c r="J164" s="219" t="s">
        <v>422</v>
      </c>
      <c r="K164" s="220" t="s">
        <v>423</v>
      </c>
      <c r="L164" s="166"/>
      <c r="M164" s="167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 spans="1:26" ht="12.75" customHeight="1" x14ac:dyDescent="0.3">
      <c r="A165" s="167"/>
      <c r="B165" s="192" t="s">
        <v>192</v>
      </c>
      <c r="C165" s="262">
        <v>0.01</v>
      </c>
      <c r="D165" s="263">
        <f>IF(ISNA(VLOOKUP(B165,'Listado de Artículos'!$B$16:$F$1328,5,0)),0,(VLOOKUP(B165,'Listado de Artículos'!$B$16:$F$1328,5,0)))</f>
        <v>11.5</v>
      </c>
      <c r="E165" s="262">
        <v>1</v>
      </c>
      <c r="F165" s="262">
        <v>0.9</v>
      </c>
      <c r="G165" s="264">
        <f>IF(E165&gt;0,(F165/E165),"")</f>
        <v>0.9</v>
      </c>
      <c r="H165" s="264">
        <f>IF(E165&gt;0,(100%-G165),"")</f>
        <v>9.9999999999999978E-2</v>
      </c>
      <c r="I165" s="265">
        <f>IF(C165&gt;0,(H165*C165/G165),"")</f>
        <v>1.1111111111111109E-3</v>
      </c>
      <c r="J165" s="265">
        <f>IF(C165&gt;0,(C165+I165),"")</f>
        <v>1.1111111111111112E-2</v>
      </c>
      <c r="K165" s="211">
        <f>IF(D165&gt;0,(D165*J165),"")</f>
        <v>0.1277777777777778</v>
      </c>
      <c r="L165" s="166"/>
      <c r="M165" s="167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</row>
    <row r="166" spans="1:26" ht="12.75" customHeight="1" x14ac:dyDescent="0.3">
      <c r="A166" s="167"/>
      <c r="B166" s="191" t="s">
        <v>262</v>
      </c>
      <c r="C166" s="262">
        <v>1.4999999999999999E-2</v>
      </c>
      <c r="D166" s="263">
        <f>IF(ISNA(VLOOKUP(B166,'Listado de Artículos'!$B$16:$F$1328,5,0)),0,(VLOOKUP(B166,'Listado de Artículos'!$B$16:$F$1328,5,0)))</f>
        <v>8.5</v>
      </c>
      <c r="E166" s="262">
        <v>1</v>
      </c>
      <c r="F166" s="262">
        <v>1</v>
      </c>
      <c r="G166" s="264">
        <f>IF(E166&gt;0,(F166/E166),"")</f>
        <v>1</v>
      </c>
      <c r="H166" s="264">
        <f>IF(E166&gt;0,(100%-G166),"")</f>
        <v>0</v>
      </c>
      <c r="I166" s="265">
        <f>IF(C166&gt;0,(H166*C166/G166),"")</f>
        <v>0</v>
      </c>
      <c r="J166" s="265">
        <f>IF(C166&gt;0,(C166+I166),"")</f>
        <v>1.4999999999999999E-2</v>
      </c>
      <c r="K166" s="211">
        <f>IF(D166&gt;0,(D166*J166),"")</f>
        <v>0.1275</v>
      </c>
      <c r="L166" s="166"/>
      <c r="M166" s="167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 spans="1:26" ht="12.75" customHeight="1" x14ac:dyDescent="0.3">
      <c r="A167" s="167"/>
      <c r="B167" s="177" t="s">
        <v>263</v>
      </c>
      <c r="C167" s="262">
        <v>1.4999999999999999E-2</v>
      </c>
      <c r="D167" s="263">
        <f>IF(ISNA(VLOOKUP(B167,'Listado de Artículos'!$B$16:$F$1328,5,0)),0,(VLOOKUP(B167,'Listado de Artículos'!$B$16:$F$1328,5,0)))</f>
        <v>6.46</v>
      </c>
      <c r="E167" s="262">
        <v>1</v>
      </c>
      <c r="F167" s="262">
        <v>1</v>
      </c>
      <c r="G167" s="264">
        <f>IF(E167&gt;0,(F167/E167),"")</f>
        <v>1</v>
      </c>
      <c r="H167" s="264">
        <f>IF(E167&gt;0,(100%-G167),"")</f>
        <v>0</v>
      </c>
      <c r="I167" s="265">
        <f>IF(C167&gt;0,(H167*C167/G167),"")</f>
        <v>0</v>
      </c>
      <c r="J167" s="265">
        <f>IF(C167&gt;0,(C167+I167),"")</f>
        <v>1.4999999999999999E-2</v>
      </c>
      <c r="K167" s="211">
        <f>IF(D167&gt;0,(D167*J167),"")</f>
        <v>9.69E-2</v>
      </c>
      <c r="L167" s="166"/>
      <c r="M167" s="167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 spans="1:26" ht="12.75" customHeight="1" x14ac:dyDescent="0.3">
      <c r="A168" s="167"/>
      <c r="B168" s="177" t="s">
        <v>84</v>
      </c>
      <c r="C168" s="262">
        <v>0.01</v>
      </c>
      <c r="D168" s="263">
        <f>IF(ISNA(VLOOKUP(B168,'Listado de Artículos'!$B$16:$F$1328,5,0)),0,(VLOOKUP(B168,'Listado de Artículos'!$B$16:$F$1328,5,0)))</f>
        <v>522.04999999999995</v>
      </c>
      <c r="E168" s="262">
        <v>1</v>
      </c>
      <c r="F168" s="262">
        <v>1</v>
      </c>
      <c r="G168" s="264">
        <f>IF(E168&gt;0,(F168/E168),"")</f>
        <v>1</v>
      </c>
      <c r="H168" s="264">
        <f>IF(E168&gt;0,(100%-G168),"")</f>
        <v>0</v>
      </c>
      <c r="I168" s="265">
        <f>IF(C168&gt;0,(H168*C168/G168),"")</f>
        <v>0</v>
      </c>
      <c r="J168" s="265">
        <f>IF(C168&gt;0,(C168+I168),"")</f>
        <v>0.01</v>
      </c>
      <c r="K168" s="211">
        <f>IF(D168&gt;0,(D168*J168),"")</f>
        <v>5.2204999999999995</v>
      </c>
      <c r="L168" s="166"/>
      <c r="M168" s="167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 spans="1:26" ht="12.75" customHeight="1" x14ac:dyDescent="0.3">
      <c r="A169" s="167"/>
      <c r="B169" s="177" t="s">
        <v>329</v>
      </c>
      <c r="C169" s="262">
        <v>1</v>
      </c>
      <c r="D169" s="263">
        <f>IF(ISNA(VLOOKUP(B169,'Listado de Artículos'!$B$16:$F$1328,5,0)),0,(VLOOKUP(B169,'Listado de Artículos'!$B$16:$F$1328,5,0)))</f>
        <v>8.5399999999999991</v>
      </c>
      <c r="E169" s="262">
        <v>1</v>
      </c>
      <c r="F169" s="262">
        <v>1</v>
      </c>
      <c r="G169" s="264">
        <f>IF(E169&gt;0,(F169/E169),"")</f>
        <v>1</v>
      </c>
      <c r="H169" s="264">
        <f>IF(E169&gt;0,(100%-G169),"")</f>
        <v>0</v>
      </c>
      <c r="I169" s="265">
        <f>IF(C169&gt;0,(H169*C169/G169),"")</f>
        <v>0</v>
      </c>
      <c r="J169" s="265">
        <f>IF(C169&gt;0,(C169+I169),"")</f>
        <v>1</v>
      </c>
      <c r="K169" s="211">
        <f>IF(D169&gt;0,(D169*J169),"")</f>
        <v>8.5399999999999991</v>
      </c>
      <c r="L169" s="166"/>
      <c r="M169" s="167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 spans="1:26" ht="12.75" customHeight="1" x14ac:dyDescent="0.3">
      <c r="A170" s="164"/>
      <c r="B170" s="165"/>
      <c r="C170" s="165"/>
      <c r="D170" s="165"/>
      <c r="E170" s="165"/>
      <c r="F170" s="165"/>
      <c r="G170" s="165"/>
      <c r="H170" s="165"/>
      <c r="I170" s="165"/>
      <c r="J170" s="165"/>
      <c r="K170" s="165"/>
      <c r="L170" s="164"/>
    </row>
    <row r="171" spans="1:26" ht="12.75" customHeight="1" x14ac:dyDescent="0.3">
      <c r="A171" s="167"/>
      <c r="B171" s="166"/>
      <c r="C171" s="303" t="s">
        <v>405</v>
      </c>
      <c r="D171" s="304"/>
      <c r="E171" s="304"/>
      <c r="F171" s="304"/>
      <c r="G171" s="304"/>
      <c r="H171" s="304"/>
      <c r="I171" s="304"/>
      <c r="J171" s="304"/>
      <c r="K171" s="305"/>
      <c r="L171" s="166"/>
      <c r="M171" s="167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 spans="1:26" ht="12.75" customHeight="1" x14ac:dyDescent="0.3">
      <c r="A172" s="167"/>
      <c r="B172" s="166"/>
      <c r="C172" s="316" t="s">
        <v>406</v>
      </c>
      <c r="D172" s="304"/>
      <c r="E172" s="304"/>
      <c r="F172" s="304"/>
      <c r="G172" s="304"/>
      <c r="H172" s="304"/>
      <c r="I172" s="304"/>
      <c r="J172" s="304"/>
      <c r="K172" s="305"/>
      <c r="L172" s="166"/>
      <c r="M172" s="167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 spans="1:26" ht="12.75" customHeight="1" x14ac:dyDescent="0.3">
      <c r="A173" s="167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7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</row>
    <row r="174" spans="1:26" ht="12.75" customHeight="1" x14ac:dyDescent="0.3">
      <c r="A174" s="167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7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 spans="1:26" ht="12.75" customHeight="1" x14ac:dyDescent="0.3">
      <c r="A175" s="167"/>
      <c r="B175" s="167"/>
      <c r="C175" s="168" t="s">
        <v>407</v>
      </c>
      <c r="D175" s="309" t="s">
        <v>439</v>
      </c>
      <c r="E175" s="310"/>
      <c r="F175" s="310"/>
      <c r="G175" s="310"/>
      <c r="H175" s="310"/>
      <c r="I175" s="310"/>
      <c r="J175" s="310"/>
      <c r="K175" s="310"/>
      <c r="L175" s="166"/>
      <c r="M175" s="167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 spans="1:26" ht="12.75" customHeight="1" x14ac:dyDescent="0.3">
      <c r="A176" s="169"/>
      <c r="B176" s="169"/>
      <c r="C176" s="170" t="s">
        <v>409</v>
      </c>
      <c r="D176" s="311"/>
      <c r="E176" s="312"/>
      <c r="F176" s="312"/>
      <c r="G176" s="313"/>
      <c r="H176" s="319"/>
      <c r="I176" s="315"/>
      <c r="J176" s="307"/>
      <c r="K176" s="308"/>
      <c r="L176" s="167"/>
      <c r="M176" s="167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 spans="1:26" ht="12.75" customHeight="1" x14ac:dyDescent="0.3">
      <c r="A177" s="167"/>
      <c r="B177" s="166"/>
      <c r="C177" s="171" t="s">
        <v>411</v>
      </c>
      <c r="D177" s="260">
        <v>1</v>
      </c>
      <c r="E177" s="317" t="s">
        <v>412</v>
      </c>
      <c r="F177" s="318"/>
      <c r="G177" s="172">
        <f>SUM(K180:K188)</f>
        <v>1.3573899999999999</v>
      </c>
      <c r="H177" s="314" t="s">
        <v>432</v>
      </c>
      <c r="I177" s="315"/>
      <c r="J177" s="261">
        <f>G177/D177</f>
        <v>1.3573899999999999</v>
      </c>
      <c r="K177" s="270"/>
      <c r="L177" s="166"/>
      <c r="M177" s="167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 spans="1:26" ht="12.75" customHeight="1" x14ac:dyDescent="0.3">
      <c r="A178" s="167"/>
      <c r="B178" s="174"/>
      <c r="C178" s="174"/>
      <c r="D178" s="174"/>
      <c r="E178" s="174"/>
      <c r="F178" s="174"/>
      <c r="G178" s="174"/>
      <c r="H178" s="174"/>
      <c r="I178" s="174"/>
      <c r="J178" s="166"/>
      <c r="K178" s="166"/>
      <c r="L178" s="166"/>
      <c r="M178" s="167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 spans="1:26" ht="12.75" customHeight="1" x14ac:dyDescent="0.3">
      <c r="A179" s="167"/>
      <c r="B179" s="175" t="s">
        <v>414</v>
      </c>
      <c r="C179" s="219" t="s">
        <v>415</v>
      </c>
      <c r="D179" s="219" t="s">
        <v>416</v>
      </c>
      <c r="E179" s="219" t="s">
        <v>417</v>
      </c>
      <c r="F179" s="219" t="s">
        <v>418</v>
      </c>
      <c r="G179" s="219" t="s">
        <v>419</v>
      </c>
      <c r="H179" s="219" t="s">
        <v>420</v>
      </c>
      <c r="I179" s="219" t="s">
        <v>421</v>
      </c>
      <c r="J179" s="219" t="s">
        <v>422</v>
      </c>
      <c r="K179" s="220" t="s">
        <v>423</v>
      </c>
      <c r="L179" s="166"/>
      <c r="M179" s="167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 spans="1:26" ht="12.75" customHeight="1" x14ac:dyDescent="0.3">
      <c r="A180" s="167"/>
      <c r="B180" s="192" t="s">
        <v>222</v>
      </c>
      <c r="C180" s="262">
        <v>0.03</v>
      </c>
      <c r="D180" s="263">
        <f>IF(ISNA(VLOOKUP(B180,'Listado de Artículos'!$B$16:$F$1328,5,0)),0,(VLOOKUP(B180,'Listado de Artículos'!$B$16:$F$1328,5,0)))</f>
        <v>8.5</v>
      </c>
      <c r="E180" s="262">
        <v>1</v>
      </c>
      <c r="F180" s="262">
        <v>1</v>
      </c>
      <c r="G180" s="264">
        <f t="shared" ref="G180:G188" si="25">IF(E180&gt;0,(F180/E180),"")</f>
        <v>1</v>
      </c>
      <c r="H180" s="264">
        <f t="shared" ref="H180:H188" si="26">IF(E180&gt;0,(100%-G180),"")</f>
        <v>0</v>
      </c>
      <c r="I180" s="265">
        <f t="shared" ref="I180:I188" si="27">IF(C180&gt;0,(H180*C180/G180),"")</f>
        <v>0</v>
      </c>
      <c r="J180" s="265">
        <f t="shared" ref="J180:J188" si="28">IF(C180&gt;0,(C180+I180),"")</f>
        <v>0.03</v>
      </c>
      <c r="K180" s="211">
        <f t="shared" ref="K180:K188" si="29">IF(D180&gt;0,(D180*J180),"")</f>
        <v>0.255</v>
      </c>
      <c r="L180" s="166"/>
      <c r="M180" s="167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 spans="1:26" ht="12.75" customHeight="1" x14ac:dyDescent="0.3">
      <c r="A181" s="167"/>
      <c r="B181" s="191" t="s">
        <v>345</v>
      </c>
      <c r="C181" s="262">
        <v>0.01</v>
      </c>
      <c r="D181" s="263">
        <f>IF(ISNA(VLOOKUP(B181,'Listado de Artículos'!$B$16:$F$1328,5,0)),0,(VLOOKUP(B181,'Listado de Artículos'!$B$16:$F$1328,5,0)))</f>
        <v>4.8499999999999996</v>
      </c>
      <c r="E181" s="262">
        <v>1</v>
      </c>
      <c r="F181" s="262">
        <v>1</v>
      </c>
      <c r="G181" s="264">
        <f t="shared" si="25"/>
        <v>1</v>
      </c>
      <c r="H181" s="264">
        <f t="shared" si="26"/>
        <v>0</v>
      </c>
      <c r="I181" s="265">
        <f t="shared" si="27"/>
        <v>0</v>
      </c>
      <c r="J181" s="265">
        <f t="shared" si="28"/>
        <v>0.01</v>
      </c>
      <c r="K181" s="211">
        <f t="shared" si="29"/>
        <v>4.8499999999999995E-2</v>
      </c>
      <c r="L181" s="166"/>
      <c r="M181" s="167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 spans="1:26" ht="12.75" customHeight="1" x14ac:dyDescent="0.3">
      <c r="A182" s="167"/>
      <c r="B182" s="177" t="s">
        <v>139</v>
      </c>
      <c r="C182" s="262">
        <v>5.0000000000000001E-3</v>
      </c>
      <c r="D182" s="263">
        <f>IF(ISNA(VLOOKUP(B182,'Listado de Artículos'!$B$16:$F$1328,5,0)),0,(VLOOKUP(B182,'Listado de Artículos'!$B$16:$F$1328,5,0)))</f>
        <v>4.8499999999999996</v>
      </c>
      <c r="E182" s="262">
        <v>1</v>
      </c>
      <c r="F182" s="262">
        <v>1</v>
      </c>
      <c r="G182" s="264">
        <f t="shared" si="25"/>
        <v>1</v>
      </c>
      <c r="H182" s="264">
        <f t="shared" si="26"/>
        <v>0</v>
      </c>
      <c r="I182" s="265">
        <f t="shared" si="27"/>
        <v>0</v>
      </c>
      <c r="J182" s="265">
        <f t="shared" si="28"/>
        <v>5.0000000000000001E-3</v>
      </c>
      <c r="K182" s="211">
        <f t="shared" si="29"/>
        <v>2.4249999999999997E-2</v>
      </c>
      <c r="L182" s="166"/>
      <c r="M182" s="167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 spans="1:26" ht="27" customHeight="1" x14ac:dyDescent="0.3">
      <c r="A183" s="167"/>
      <c r="B183" s="177" t="s">
        <v>196</v>
      </c>
      <c r="C183" s="262">
        <v>0.05</v>
      </c>
      <c r="D183" s="263">
        <f>IF(ISNA(VLOOKUP(B183,'Listado de Artículos'!$B$16:$F$1328,5,0)),0,(VLOOKUP(B183,'Listado de Artículos'!$B$16:$F$1328,5,0)))</f>
        <v>5.5</v>
      </c>
      <c r="E183" s="262">
        <v>1</v>
      </c>
      <c r="F183" s="262">
        <v>1</v>
      </c>
      <c r="G183" s="264">
        <f t="shared" si="25"/>
        <v>1</v>
      </c>
      <c r="H183" s="264">
        <f t="shared" si="26"/>
        <v>0</v>
      </c>
      <c r="I183" s="265">
        <f t="shared" si="27"/>
        <v>0</v>
      </c>
      <c r="J183" s="265">
        <f t="shared" si="28"/>
        <v>0.05</v>
      </c>
      <c r="K183" s="211">
        <f t="shared" si="29"/>
        <v>0.27500000000000002</v>
      </c>
      <c r="L183" s="195" t="s">
        <v>440</v>
      </c>
      <c r="M183" s="167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 spans="1:26" ht="12.75" customHeight="1" x14ac:dyDescent="0.3">
      <c r="A184" s="167"/>
      <c r="B184" s="177" t="s">
        <v>83</v>
      </c>
      <c r="C184" s="262">
        <v>1.4999999999999999E-2</v>
      </c>
      <c r="D184" s="263">
        <f>IF(ISNA(VLOOKUP(B184,'Listado de Artículos'!$B$16:$F$1328,5,0)),0,(VLOOKUP(B184,'Listado de Artículos'!$B$16:$F$1328,5,0)))</f>
        <v>18.989999999999998</v>
      </c>
      <c r="E184" s="262">
        <v>1</v>
      </c>
      <c r="F184" s="262">
        <v>1</v>
      </c>
      <c r="G184" s="264">
        <f t="shared" si="25"/>
        <v>1</v>
      </c>
      <c r="H184" s="264">
        <f t="shared" si="26"/>
        <v>0</v>
      </c>
      <c r="I184" s="265">
        <f t="shared" si="27"/>
        <v>0</v>
      </c>
      <c r="J184" s="265">
        <f t="shared" si="28"/>
        <v>1.4999999999999999E-2</v>
      </c>
      <c r="K184" s="211">
        <f t="shared" si="29"/>
        <v>0.28484999999999999</v>
      </c>
      <c r="L184" s="166"/>
      <c r="M184" s="167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</row>
    <row r="185" spans="1:26" ht="12.75" customHeight="1" x14ac:dyDescent="0.3">
      <c r="A185" s="167"/>
      <c r="B185" s="177" t="s">
        <v>360</v>
      </c>
      <c r="C185" s="262">
        <v>0.01</v>
      </c>
      <c r="D185" s="263">
        <f>IF(ISNA(VLOOKUP(B185,'Listado de Artículos'!$B$16:$F$1328,5,0)),0,(VLOOKUP(B185,'Listado de Artículos'!$B$16:$F$1328,5,0)))</f>
        <v>4.25</v>
      </c>
      <c r="E185" s="262">
        <v>1</v>
      </c>
      <c r="F185" s="262">
        <v>1</v>
      </c>
      <c r="G185" s="264">
        <f t="shared" si="25"/>
        <v>1</v>
      </c>
      <c r="H185" s="264">
        <f t="shared" si="26"/>
        <v>0</v>
      </c>
      <c r="I185" s="265">
        <f t="shared" si="27"/>
        <v>0</v>
      </c>
      <c r="J185" s="265">
        <f t="shared" si="28"/>
        <v>0.01</v>
      </c>
      <c r="K185" s="211">
        <f t="shared" si="29"/>
        <v>4.2500000000000003E-2</v>
      </c>
      <c r="L185" s="166"/>
      <c r="M185" s="167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</row>
    <row r="186" spans="1:26" ht="12.75" customHeight="1" x14ac:dyDescent="0.3">
      <c r="A186" s="167"/>
      <c r="B186" s="177" t="s">
        <v>235</v>
      </c>
      <c r="C186" s="262">
        <v>5.0000000000000001E-3</v>
      </c>
      <c r="D186" s="263">
        <f>IF(ISNA(VLOOKUP(B186,'Listado de Artículos'!$B$16:$F$1328,5,0)),0,(VLOOKUP(B186,'Listado de Artículos'!$B$16:$F$1328,5,0)))</f>
        <v>8.99</v>
      </c>
      <c r="E186" s="262">
        <v>1</v>
      </c>
      <c r="F186" s="262">
        <v>1</v>
      </c>
      <c r="G186" s="264">
        <f t="shared" si="25"/>
        <v>1</v>
      </c>
      <c r="H186" s="264">
        <f t="shared" si="26"/>
        <v>0</v>
      </c>
      <c r="I186" s="265">
        <f t="shared" si="27"/>
        <v>0</v>
      </c>
      <c r="J186" s="265">
        <f t="shared" si="28"/>
        <v>5.0000000000000001E-3</v>
      </c>
      <c r="K186" s="211">
        <f t="shared" si="29"/>
        <v>4.4950000000000004E-2</v>
      </c>
      <c r="L186" s="166"/>
      <c r="M186" s="167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 spans="1:26" ht="12.75" customHeight="1" x14ac:dyDescent="0.3">
      <c r="A187" s="167"/>
      <c r="B187" s="177" t="s">
        <v>356</v>
      </c>
      <c r="C187" s="262">
        <v>0.02</v>
      </c>
      <c r="D187" s="263">
        <f>IF(ISNA(VLOOKUP(B187,'Listado de Artículos'!$B$16:$F$1328,5,0)),0,(VLOOKUP(B187,'Listado de Artículos'!$B$16:$F$1328,5,0)))</f>
        <v>18.25</v>
      </c>
      <c r="E187" s="262">
        <v>1</v>
      </c>
      <c r="F187" s="262">
        <v>1</v>
      </c>
      <c r="G187" s="264">
        <f t="shared" si="25"/>
        <v>1</v>
      </c>
      <c r="H187" s="264">
        <f t="shared" si="26"/>
        <v>0</v>
      </c>
      <c r="I187" s="265">
        <f t="shared" si="27"/>
        <v>0</v>
      </c>
      <c r="J187" s="265">
        <f t="shared" si="28"/>
        <v>0.02</v>
      </c>
      <c r="K187" s="211">
        <f t="shared" si="29"/>
        <v>0.36499999999999999</v>
      </c>
      <c r="L187" s="166"/>
      <c r="M187" s="167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 spans="1:26" ht="12.75" customHeight="1" x14ac:dyDescent="0.3">
      <c r="A188" s="167"/>
      <c r="B188" s="177" t="s">
        <v>317</v>
      </c>
      <c r="C188" s="262">
        <v>3.0000000000000001E-3</v>
      </c>
      <c r="D188" s="263">
        <f>IF(ISNA(VLOOKUP(B188,'Listado de Artículos'!$B$16:$F$1328,5,0)),0,(VLOOKUP(B188,'Listado de Artículos'!$B$16:$F$1328,5,0)))</f>
        <v>5.78</v>
      </c>
      <c r="E188" s="262">
        <v>1</v>
      </c>
      <c r="F188" s="262">
        <v>1</v>
      </c>
      <c r="G188" s="264">
        <f t="shared" si="25"/>
        <v>1</v>
      </c>
      <c r="H188" s="264">
        <f t="shared" si="26"/>
        <v>0</v>
      </c>
      <c r="I188" s="265">
        <f t="shared" si="27"/>
        <v>0</v>
      </c>
      <c r="J188" s="265">
        <f t="shared" si="28"/>
        <v>3.0000000000000001E-3</v>
      </c>
      <c r="K188" s="211">
        <f t="shared" si="29"/>
        <v>1.7340000000000001E-2</v>
      </c>
      <c r="L188" s="166"/>
      <c r="M188" s="167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 spans="1:26" ht="12.75" customHeight="1" x14ac:dyDescent="0.3">
      <c r="A189" s="164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4"/>
    </row>
    <row r="190" spans="1:26" ht="12.75" customHeight="1" x14ac:dyDescent="0.3">
      <c r="A190" s="167"/>
      <c r="B190" s="166"/>
      <c r="C190" s="303" t="s">
        <v>405</v>
      </c>
      <c r="D190" s="304"/>
      <c r="E190" s="304"/>
      <c r="F190" s="304"/>
      <c r="G190" s="304"/>
      <c r="H190" s="304"/>
      <c r="I190" s="304"/>
      <c r="J190" s="304"/>
      <c r="K190" s="305"/>
      <c r="L190" s="166"/>
      <c r="M190" s="167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 spans="1:26" ht="12.75" customHeight="1" x14ac:dyDescent="0.3">
      <c r="A191" s="167"/>
      <c r="B191" s="166"/>
      <c r="C191" s="316" t="s">
        <v>406</v>
      </c>
      <c r="D191" s="304"/>
      <c r="E191" s="304"/>
      <c r="F191" s="304"/>
      <c r="G191" s="304"/>
      <c r="H191" s="304"/>
      <c r="I191" s="304"/>
      <c r="J191" s="304"/>
      <c r="K191" s="305"/>
      <c r="L191" s="166"/>
      <c r="M191" s="167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 spans="1:26" ht="12.75" customHeight="1" x14ac:dyDescent="0.3">
      <c r="A192" s="167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7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 spans="1:26" ht="12.75" customHeight="1" x14ac:dyDescent="0.3">
      <c r="A193" s="167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7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 spans="1:26" ht="12.75" customHeight="1" x14ac:dyDescent="0.3">
      <c r="A194" s="167"/>
      <c r="B194" s="167"/>
      <c r="C194" s="168" t="s">
        <v>407</v>
      </c>
      <c r="D194" s="309" t="s">
        <v>441</v>
      </c>
      <c r="E194" s="310"/>
      <c r="F194" s="310"/>
      <c r="G194" s="310"/>
      <c r="H194" s="310"/>
      <c r="I194" s="310"/>
      <c r="J194" s="310"/>
      <c r="K194" s="310"/>
      <c r="L194" s="166"/>
      <c r="M194" s="167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 spans="1:26" ht="12.75" customHeight="1" x14ac:dyDescent="0.3">
      <c r="A195" s="169"/>
      <c r="B195" s="169"/>
      <c r="C195" s="170" t="s">
        <v>409</v>
      </c>
      <c r="D195" s="311"/>
      <c r="E195" s="312"/>
      <c r="F195" s="312"/>
      <c r="G195" s="313"/>
      <c r="H195" s="319"/>
      <c r="I195" s="315"/>
      <c r="J195" s="307"/>
      <c r="K195" s="308"/>
      <c r="L195" s="167"/>
      <c r="M195" s="167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 spans="1:26" ht="12.75" customHeight="1" x14ac:dyDescent="0.3">
      <c r="A196" s="167"/>
      <c r="B196" s="166"/>
      <c r="C196" s="171" t="s">
        <v>411</v>
      </c>
      <c r="D196" s="260">
        <v>1</v>
      </c>
      <c r="E196" s="317" t="s">
        <v>412</v>
      </c>
      <c r="F196" s="318"/>
      <c r="G196" s="172">
        <f>SUM(K199:K200)</f>
        <v>8.1733333333333338</v>
      </c>
      <c r="H196" s="314" t="s">
        <v>432</v>
      </c>
      <c r="I196" s="315"/>
      <c r="J196" s="261">
        <f>G196/D196</f>
        <v>8.1733333333333338</v>
      </c>
      <c r="K196" s="270"/>
      <c r="L196" s="166"/>
      <c r="M196" s="167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</row>
    <row r="197" spans="1:26" ht="12.75" customHeight="1" x14ac:dyDescent="0.3">
      <c r="A197" s="167"/>
      <c r="B197" s="174"/>
      <c r="C197" s="174"/>
      <c r="D197" s="174"/>
      <c r="E197" s="174"/>
      <c r="F197" s="174"/>
      <c r="G197" s="174"/>
      <c r="H197" s="174"/>
      <c r="I197" s="174"/>
      <c r="J197" s="166"/>
      <c r="K197" s="166"/>
      <c r="L197" s="166"/>
      <c r="M197" s="167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 spans="1:26" ht="12.75" customHeight="1" x14ac:dyDescent="0.3">
      <c r="A198" s="167"/>
      <c r="B198" s="175" t="s">
        <v>414</v>
      </c>
      <c r="C198" s="219" t="s">
        <v>415</v>
      </c>
      <c r="D198" s="219" t="s">
        <v>416</v>
      </c>
      <c r="E198" s="219" t="s">
        <v>417</v>
      </c>
      <c r="F198" s="219" t="s">
        <v>418</v>
      </c>
      <c r="G198" s="219" t="s">
        <v>419</v>
      </c>
      <c r="H198" s="219" t="s">
        <v>420</v>
      </c>
      <c r="I198" s="219" t="s">
        <v>421</v>
      </c>
      <c r="J198" s="219" t="s">
        <v>422</v>
      </c>
      <c r="K198" s="220" t="s">
        <v>423</v>
      </c>
      <c r="L198" s="166"/>
      <c r="M198" s="167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 spans="1:26" ht="12.75" customHeight="1" x14ac:dyDescent="0.3">
      <c r="A199" s="167"/>
      <c r="B199" s="192" t="s">
        <v>43</v>
      </c>
      <c r="C199" s="262">
        <v>0.8</v>
      </c>
      <c r="D199" s="263">
        <f>IF(ISNA(VLOOKUP(B199,'Listado de Artículos'!$B$16:$F$1328,5,0)),0,(VLOOKUP(B199,'Listado de Artículos'!$B$16:$F$1328,5,0)))</f>
        <v>8.9700000000000006</v>
      </c>
      <c r="E199" s="262">
        <v>1</v>
      </c>
      <c r="F199" s="262">
        <v>0.9</v>
      </c>
      <c r="G199" s="264">
        <f>IF(E199&gt;0,(F199/E199),"")</f>
        <v>0.9</v>
      </c>
      <c r="H199" s="264">
        <f>IF(E199&gt;0,(100%-G199),"")</f>
        <v>9.9999999999999978E-2</v>
      </c>
      <c r="I199" s="265">
        <f>IF(C199&gt;0,(H199*C199/G199),"")</f>
        <v>8.8888888888888878E-2</v>
      </c>
      <c r="J199" s="265">
        <f>IF(C199&gt;0,(C199+I199),"")</f>
        <v>0.88888888888888895</v>
      </c>
      <c r="K199" s="211">
        <f>IF(D199&gt;0,(D199*J199),"")</f>
        <v>7.9733333333333345</v>
      </c>
      <c r="L199" s="166"/>
      <c r="M199" s="167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</row>
    <row r="200" spans="1:26" ht="12.75" customHeight="1" x14ac:dyDescent="0.3">
      <c r="A200" s="167"/>
      <c r="B200" s="191" t="s">
        <v>355</v>
      </c>
      <c r="C200" s="262">
        <v>0.2</v>
      </c>
      <c r="D200" s="263">
        <f>IF(ISNA(VLOOKUP(B200,'Listado de Artículos'!$B$16:$F$1328,5,0)),0,(VLOOKUP(B200,'Listado de Artículos'!$B$16:$F$1328,5,0)))</f>
        <v>1</v>
      </c>
      <c r="E200" s="262">
        <v>1</v>
      </c>
      <c r="F200" s="262">
        <v>1</v>
      </c>
      <c r="G200" s="264">
        <f>IF(E200&gt;0,(F200/E200),"")</f>
        <v>1</v>
      </c>
      <c r="H200" s="264">
        <f>IF(E200&gt;0,(100%-G200),"")</f>
        <v>0</v>
      </c>
      <c r="I200" s="265">
        <f>IF(C200&gt;0,(H200*C200/G200),"")</f>
        <v>0</v>
      </c>
      <c r="J200" s="265">
        <f>IF(C200&gt;0,(C200+I200),"")</f>
        <v>0.2</v>
      </c>
      <c r="K200" s="211">
        <f>IF(D200&gt;0,(D200*J200),"")</f>
        <v>0.2</v>
      </c>
      <c r="L200" s="166"/>
      <c r="M200" s="167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 spans="1:26" ht="12.75" customHeight="1" x14ac:dyDescent="0.3">
      <c r="A201" s="164"/>
      <c r="B201" s="165"/>
      <c r="C201" s="165"/>
      <c r="D201" s="165"/>
      <c r="E201" s="165"/>
      <c r="F201" s="165"/>
      <c r="G201" s="165"/>
      <c r="H201" s="165"/>
      <c r="I201" s="165"/>
      <c r="J201" s="165"/>
      <c r="K201" s="165"/>
      <c r="L201" s="164"/>
    </row>
    <row r="202" spans="1:26" ht="12.75" customHeight="1" x14ac:dyDescent="0.3">
      <c r="A202" s="167"/>
      <c r="B202" s="166"/>
      <c r="C202" s="303" t="s">
        <v>405</v>
      </c>
      <c r="D202" s="304"/>
      <c r="E202" s="304"/>
      <c r="F202" s="304"/>
      <c r="G202" s="304"/>
      <c r="H202" s="304"/>
      <c r="I202" s="304"/>
      <c r="J202" s="304"/>
      <c r="K202" s="305"/>
      <c r="L202" s="166"/>
      <c r="M202" s="167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 spans="1:26" ht="12.75" customHeight="1" x14ac:dyDescent="0.3">
      <c r="A203" s="167"/>
      <c r="B203" s="166"/>
      <c r="C203" s="316" t="s">
        <v>406</v>
      </c>
      <c r="D203" s="304"/>
      <c r="E203" s="304"/>
      <c r="F203" s="304"/>
      <c r="G203" s="304"/>
      <c r="H203" s="304"/>
      <c r="I203" s="304"/>
      <c r="J203" s="304"/>
      <c r="K203" s="305"/>
      <c r="L203" s="166"/>
      <c r="M203" s="167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 spans="1:26" ht="12.75" customHeight="1" x14ac:dyDescent="0.3">
      <c r="A204" s="167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7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 spans="1:26" ht="12.75" customHeight="1" x14ac:dyDescent="0.3">
      <c r="A205" s="167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7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 spans="1:26" ht="12.75" customHeight="1" x14ac:dyDescent="0.3">
      <c r="A206" s="167"/>
      <c r="B206" s="167"/>
      <c r="C206" s="168" t="s">
        <v>407</v>
      </c>
      <c r="D206" s="309" t="s">
        <v>442</v>
      </c>
      <c r="E206" s="310"/>
      <c r="F206" s="310"/>
      <c r="G206" s="310"/>
      <c r="H206" s="310"/>
      <c r="I206" s="310"/>
      <c r="J206" s="310"/>
      <c r="K206" s="310"/>
      <c r="L206" s="166"/>
      <c r="M206" s="167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 spans="1:26" ht="12.75" customHeight="1" x14ac:dyDescent="0.3">
      <c r="A207" s="169"/>
      <c r="B207" s="169"/>
      <c r="C207" s="170" t="s">
        <v>409</v>
      </c>
      <c r="D207" s="311"/>
      <c r="E207" s="312"/>
      <c r="F207" s="312"/>
      <c r="G207" s="313"/>
      <c r="H207" s="319"/>
      <c r="I207" s="315"/>
      <c r="J207" s="307"/>
      <c r="K207" s="308"/>
      <c r="L207" s="167"/>
      <c r="M207" s="167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 spans="1:26" ht="12.75" customHeight="1" x14ac:dyDescent="0.3">
      <c r="A208" s="167"/>
      <c r="B208" s="166"/>
      <c r="C208" s="171" t="s">
        <v>411</v>
      </c>
      <c r="D208" s="260">
        <v>1</v>
      </c>
      <c r="E208" s="317" t="s">
        <v>412</v>
      </c>
      <c r="F208" s="318"/>
      <c r="G208" s="172">
        <f>SUM(K211:K214)</f>
        <v>0.75589999999999991</v>
      </c>
      <c r="H208" s="314" t="s">
        <v>432</v>
      </c>
      <c r="I208" s="315"/>
      <c r="J208" s="261">
        <f>G208/D208</f>
        <v>0.75589999999999991</v>
      </c>
      <c r="K208" s="270"/>
      <c r="L208" s="166"/>
      <c r="M208" s="167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 spans="1:26" ht="12.75" customHeight="1" x14ac:dyDescent="0.3">
      <c r="A209" s="167"/>
      <c r="B209" s="174"/>
      <c r="C209" s="174"/>
      <c r="D209" s="174"/>
      <c r="E209" s="174"/>
      <c r="F209" s="174"/>
      <c r="G209" s="174"/>
      <c r="H209" s="174"/>
      <c r="I209" s="174"/>
      <c r="J209" s="166"/>
      <c r="K209" s="166"/>
      <c r="L209" s="166"/>
      <c r="M209" s="167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 spans="1:26" ht="12.75" customHeight="1" x14ac:dyDescent="0.3">
      <c r="A210" s="167"/>
      <c r="B210" s="175" t="s">
        <v>414</v>
      </c>
      <c r="C210" s="219" t="s">
        <v>415</v>
      </c>
      <c r="D210" s="219" t="s">
        <v>416</v>
      </c>
      <c r="E210" s="219" t="s">
        <v>417</v>
      </c>
      <c r="F210" s="219" t="s">
        <v>418</v>
      </c>
      <c r="G210" s="219" t="s">
        <v>419</v>
      </c>
      <c r="H210" s="219" t="s">
        <v>420</v>
      </c>
      <c r="I210" s="219" t="s">
        <v>421</v>
      </c>
      <c r="J210" s="219" t="s">
        <v>422</v>
      </c>
      <c r="K210" s="220" t="s">
        <v>423</v>
      </c>
      <c r="L210" s="166"/>
      <c r="M210" s="167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</row>
    <row r="211" spans="1:26" ht="12.75" customHeight="1" x14ac:dyDescent="0.3">
      <c r="A211" s="167"/>
      <c r="B211" s="192" t="s">
        <v>341</v>
      </c>
      <c r="C211" s="262">
        <v>0.05</v>
      </c>
      <c r="D211" s="263">
        <f>IF(ISNA(VLOOKUP(B211,'Listado de Artículos'!$B$16:$F$1328,5,0)),0,(VLOOKUP(B211,'Listado de Artículos'!$B$16:$F$1328,5,0)))</f>
        <v>8.4499999999999993</v>
      </c>
      <c r="E211" s="262">
        <v>1</v>
      </c>
      <c r="F211" s="262">
        <v>1</v>
      </c>
      <c r="G211" s="264">
        <f>IF(E211&gt;0,(F211/E211),"")</f>
        <v>1</v>
      </c>
      <c r="H211" s="264">
        <f>IF(E211&gt;0,(100%-G211),"")</f>
        <v>0</v>
      </c>
      <c r="I211" s="265">
        <f>IF(C211&gt;0,(H211*C211/G211),"")</f>
        <v>0</v>
      </c>
      <c r="J211" s="265">
        <f>IF(C211&gt;0,(C211+I211),"")</f>
        <v>0.05</v>
      </c>
      <c r="K211" s="211">
        <f>IF(D211&gt;0,(D211*J211),"")</f>
        <v>0.42249999999999999</v>
      </c>
      <c r="L211" s="166"/>
      <c r="M211" s="167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 spans="1:26" ht="12.75" customHeight="1" x14ac:dyDescent="0.3">
      <c r="A212" s="167"/>
      <c r="B212" s="191" t="s">
        <v>57</v>
      </c>
      <c r="C212" s="262">
        <v>0.02</v>
      </c>
      <c r="D212" s="263">
        <f>IF(ISNA(VLOOKUP(B212,'Listado de Artículos'!$B$16:$F$1328,5,0)),0,(VLOOKUP(B212,'Listado de Artículos'!$B$16:$F$1328,5,0)))</f>
        <v>2</v>
      </c>
      <c r="E212" s="262">
        <v>1</v>
      </c>
      <c r="F212" s="262">
        <v>1</v>
      </c>
      <c r="G212" s="264">
        <f>IF(E212&gt;0,(F212/E212),"")</f>
        <v>1</v>
      </c>
      <c r="H212" s="264">
        <f>IF(E212&gt;0,(100%-G212),"")</f>
        <v>0</v>
      </c>
      <c r="I212" s="265">
        <f>IF(C212&gt;0,(H212*C212/G212),"")</f>
        <v>0</v>
      </c>
      <c r="J212" s="265">
        <f>IF(C212&gt;0,(C212+I212),"")</f>
        <v>0.02</v>
      </c>
      <c r="K212" s="211">
        <f>IF(D212&gt;0,(D212*J212),"")</f>
        <v>0.04</v>
      </c>
      <c r="L212" s="166"/>
      <c r="M212" s="167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 spans="1:26" ht="12.75" customHeight="1" x14ac:dyDescent="0.3">
      <c r="A213" s="167"/>
      <c r="B213" s="177" t="s">
        <v>43</v>
      </c>
      <c r="C213" s="262">
        <v>0.02</v>
      </c>
      <c r="D213" s="263">
        <f>IF(ISNA(VLOOKUP(B213,'Listado de Artículos'!$B$16:$F$1328,5,0)),0,(VLOOKUP(B213,'Listado de Artículos'!$B$16:$F$1328,5,0)))</f>
        <v>8.9700000000000006</v>
      </c>
      <c r="E213" s="262">
        <v>1</v>
      </c>
      <c r="F213" s="262">
        <v>1</v>
      </c>
      <c r="G213" s="264">
        <f>IF(E213&gt;0,(F213/E213),"")</f>
        <v>1</v>
      </c>
      <c r="H213" s="264">
        <f>IF(E213&gt;0,(100%-G213),"")</f>
        <v>0</v>
      </c>
      <c r="I213" s="265">
        <f>IF(C213&gt;0,(H213*C213/G213),"")</f>
        <v>0</v>
      </c>
      <c r="J213" s="265">
        <f>IF(C213&gt;0,(C213+I213),"")</f>
        <v>0.02</v>
      </c>
      <c r="K213" s="211">
        <f>IF(D213&gt;0,(D213*J213),"")</f>
        <v>0.1794</v>
      </c>
      <c r="L213" s="166"/>
      <c r="M213" s="167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 spans="1:26" ht="12.75" customHeight="1" x14ac:dyDescent="0.3">
      <c r="A214" s="167"/>
      <c r="B214" s="177" t="s">
        <v>272</v>
      </c>
      <c r="C214" s="262">
        <v>0.04</v>
      </c>
      <c r="D214" s="263">
        <f>IF(ISNA(VLOOKUP(B214,'Listado de Artículos'!$B$16:$F$1328,5,0)),0,(VLOOKUP(B214,'Listado de Artículos'!$B$16:$F$1328,5,0)))</f>
        <v>2.85</v>
      </c>
      <c r="E214" s="262">
        <v>1</v>
      </c>
      <c r="F214" s="262">
        <v>1</v>
      </c>
      <c r="G214" s="264">
        <f>IF(E214&gt;0,(F214/E214),"")</f>
        <v>1</v>
      </c>
      <c r="H214" s="264">
        <f>IF(E214&gt;0,(100%-G214),"")</f>
        <v>0</v>
      </c>
      <c r="I214" s="265">
        <f>IF(C214&gt;0,(H214*C214/G214),"")</f>
        <v>0</v>
      </c>
      <c r="J214" s="265">
        <f>IF(C214&gt;0,(C214+I214),"")</f>
        <v>0.04</v>
      </c>
      <c r="K214" s="211">
        <f>IF(D214&gt;0,(D214*J214),"")</f>
        <v>0.114</v>
      </c>
      <c r="L214" s="166"/>
      <c r="M214" s="167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</row>
    <row r="215" spans="1:26" ht="12.75" customHeight="1" x14ac:dyDescent="0.3">
      <c r="A215" s="164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164"/>
    </row>
    <row r="216" spans="1:26" ht="12.75" customHeight="1" x14ac:dyDescent="0.3">
      <c r="A216" s="167"/>
      <c r="B216" s="166"/>
      <c r="C216" s="303" t="s">
        <v>405</v>
      </c>
      <c r="D216" s="304"/>
      <c r="E216" s="304"/>
      <c r="F216" s="304"/>
      <c r="G216" s="304"/>
      <c r="H216" s="304"/>
      <c r="I216" s="304"/>
      <c r="J216" s="304"/>
      <c r="K216" s="305"/>
      <c r="L216" s="166"/>
      <c r="M216" s="167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</row>
    <row r="217" spans="1:26" ht="12.75" customHeight="1" x14ac:dyDescent="0.3">
      <c r="A217" s="167"/>
      <c r="B217" s="166"/>
      <c r="C217" s="316" t="s">
        <v>406</v>
      </c>
      <c r="D217" s="304"/>
      <c r="E217" s="304"/>
      <c r="F217" s="304"/>
      <c r="G217" s="304"/>
      <c r="H217" s="304"/>
      <c r="I217" s="304"/>
      <c r="J217" s="304"/>
      <c r="K217" s="305"/>
      <c r="L217" s="166"/>
      <c r="M217" s="167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</row>
    <row r="218" spans="1:26" ht="12.75" customHeight="1" x14ac:dyDescent="0.3">
      <c r="A218" s="167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7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</row>
    <row r="219" spans="1:26" ht="12.75" customHeight="1" x14ac:dyDescent="0.3">
      <c r="A219" s="167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7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</row>
    <row r="220" spans="1:26" ht="12.75" customHeight="1" x14ac:dyDescent="0.3">
      <c r="A220" s="167"/>
      <c r="B220" s="167"/>
      <c r="C220" s="168" t="s">
        <v>407</v>
      </c>
      <c r="D220" s="309"/>
      <c r="E220" s="310"/>
      <c r="F220" s="310"/>
      <c r="G220" s="310"/>
      <c r="H220" s="310"/>
      <c r="I220" s="310"/>
      <c r="J220" s="310"/>
      <c r="K220" s="310"/>
      <c r="L220" s="166"/>
      <c r="M220" s="167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</row>
    <row r="221" spans="1:26" ht="12.75" customHeight="1" x14ac:dyDescent="0.3">
      <c r="A221" s="169"/>
      <c r="B221" s="169"/>
      <c r="C221" s="170" t="s">
        <v>409</v>
      </c>
      <c r="D221" s="311"/>
      <c r="E221" s="312"/>
      <c r="F221" s="312"/>
      <c r="G221" s="313"/>
      <c r="H221" s="319"/>
      <c r="I221" s="315"/>
      <c r="J221" s="307"/>
      <c r="K221" s="308"/>
      <c r="L221" s="167"/>
      <c r="M221" s="167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</row>
    <row r="222" spans="1:26" ht="12.75" customHeight="1" x14ac:dyDescent="0.3">
      <c r="A222" s="167"/>
      <c r="B222" s="166"/>
      <c r="C222" s="171" t="s">
        <v>411</v>
      </c>
      <c r="D222" s="260">
        <v>1</v>
      </c>
      <c r="E222" s="317" t="s">
        <v>412</v>
      </c>
      <c r="F222" s="318"/>
      <c r="G222" s="172">
        <f>SUM(K225:K228)</f>
        <v>0.75589999999999991</v>
      </c>
      <c r="H222" s="314" t="s">
        <v>432</v>
      </c>
      <c r="I222" s="315"/>
      <c r="J222" s="261">
        <f>G222/D222</f>
        <v>0.75589999999999991</v>
      </c>
      <c r="K222" s="270"/>
      <c r="L222" s="166"/>
      <c r="M222" s="167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</row>
    <row r="223" spans="1:26" ht="12.75" customHeight="1" x14ac:dyDescent="0.3">
      <c r="A223" s="167"/>
      <c r="B223" s="174"/>
      <c r="C223" s="174"/>
      <c r="D223" s="174"/>
      <c r="E223" s="174"/>
      <c r="F223" s="174"/>
      <c r="G223" s="174"/>
      <c r="H223" s="174"/>
      <c r="I223" s="174"/>
      <c r="J223" s="166"/>
      <c r="K223" s="166"/>
      <c r="L223" s="166"/>
      <c r="M223" s="167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</row>
    <row r="224" spans="1:26" ht="12.75" customHeight="1" x14ac:dyDescent="0.3">
      <c r="A224" s="167"/>
      <c r="B224" s="175" t="s">
        <v>414</v>
      </c>
      <c r="C224" s="219" t="s">
        <v>415</v>
      </c>
      <c r="D224" s="219" t="s">
        <v>416</v>
      </c>
      <c r="E224" s="219" t="s">
        <v>417</v>
      </c>
      <c r="F224" s="219" t="s">
        <v>418</v>
      </c>
      <c r="G224" s="219" t="s">
        <v>419</v>
      </c>
      <c r="H224" s="219" t="s">
        <v>420</v>
      </c>
      <c r="I224" s="219" t="s">
        <v>421</v>
      </c>
      <c r="J224" s="219" t="s">
        <v>422</v>
      </c>
      <c r="K224" s="220" t="s">
        <v>423</v>
      </c>
      <c r="L224" s="166"/>
      <c r="M224" s="167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</row>
    <row r="225" spans="1:26" ht="12.75" customHeight="1" x14ac:dyDescent="0.3">
      <c r="A225" s="167"/>
      <c r="B225" s="192" t="s">
        <v>341</v>
      </c>
      <c r="C225" s="262">
        <v>0.05</v>
      </c>
      <c r="D225" s="263">
        <f>IF(ISNA(VLOOKUP(B225,'Listado de Artículos'!$B$16:$F$1328,5,0)),0,(VLOOKUP(B225,'Listado de Artículos'!$B$16:$F$1328,5,0)))</f>
        <v>8.4499999999999993</v>
      </c>
      <c r="E225" s="262">
        <v>1</v>
      </c>
      <c r="F225" s="262">
        <v>1</v>
      </c>
      <c r="G225" s="264">
        <f>IF(E225&gt;0,(F225/E225),"")</f>
        <v>1</v>
      </c>
      <c r="H225" s="264">
        <f>IF(E225&gt;0,(100%-G225),"")</f>
        <v>0</v>
      </c>
      <c r="I225" s="265">
        <f>IF(C225&gt;0,(H225*C225/G225),"")</f>
        <v>0</v>
      </c>
      <c r="J225" s="265">
        <f>IF(C225&gt;0,(C225+I225),"")</f>
        <v>0.05</v>
      </c>
      <c r="K225" s="211">
        <f>IF(D225&gt;0,(D225*J225),"")</f>
        <v>0.42249999999999999</v>
      </c>
      <c r="L225" s="166"/>
      <c r="M225" s="167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</row>
    <row r="226" spans="1:26" ht="12.75" customHeight="1" x14ac:dyDescent="0.3">
      <c r="A226" s="167"/>
      <c r="B226" s="191" t="s">
        <v>57</v>
      </c>
      <c r="C226" s="262">
        <v>0.02</v>
      </c>
      <c r="D226" s="263">
        <f>IF(ISNA(VLOOKUP(B226,'Listado de Artículos'!$B$16:$F$1328,5,0)),0,(VLOOKUP(B226,'Listado de Artículos'!$B$16:$F$1328,5,0)))</f>
        <v>2</v>
      </c>
      <c r="E226" s="262">
        <v>1</v>
      </c>
      <c r="F226" s="262">
        <v>1</v>
      </c>
      <c r="G226" s="264">
        <f>IF(E226&gt;0,(F226/E226),"")</f>
        <v>1</v>
      </c>
      <c r="H226" s="264">
        <f>IF(E226&gt;0,(100%-G226),"")</f>
        <v>0</v>
      </c>
      <c r="I226" s="265">
        <f>IF(C226&gt;0,(H226*C226/G226),"")</f>
        <v>0</v>
      </c>
      <c r="J226" s="265">
        <f>IF(C226&gt;0,(C226+I226),"")</f>
        <v>0.02</v>
      </c>
      <c r="K226" s="211">
        <f>IF(D226&gt;0,(D226*J226),"")</f>
        <v>0.04</v>
      </c>
      <c r="L226" s="166"/>
      <c r="M226" s="167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</row>
    <row r="227" spans="1:26" ht="12.75" customHeight="1" x14ac:dyDescent="0.3">
      <c r="A227" s="167"/>
      <c r="B227" s="177" t="s">
        <v>43</v>
      </c>
      <c r="C227" s="262">
        <v>0.02</v>
      </c>
      <c r="D227" s="263">
        <f>IF(ISNA(VLOOKUP(B227,'Listado de Artículos'!$B$16:$F$1328,5,0)),0,(VLOOKUP(B227,'Listado de Artículos'!$B$16:$F$1328,5,0)))</f>
        <v>8.9700000000000006</v>
      </c>
      <c r="E227" s="262">
        <v>1</v>
      </c>
      <c r="F227" s="262">
        <v>1</v>
      </c>
      <c r="G227" s="264">
        <f>IF(E227&gt;0,(F227/E227),"")</f>
        <v>1</v>
      </c>
      <c r="H227" s="264">
        <f>IF(E227&gt;0,(100%-G227),"")</f>
        <v>0</v>
      </c>
      <c r="I227" s="265">
        <f>IF(C227&gt;0,(H227*C227/G227),"")</f>
        <v>0</v>
      </c>
      <c r="J227" s="265">
        <f>IF(C227&gt;0,(C227+I227),"")</f>
        <v>0.02</v>
      </c>
      <c r="K227" s="211">
        <f>IF(D227&gt;0,(D227*J227),"")</f>
        <v>0.1794</v>
      </c>
      <c r="L227" s="166"/>
      <c r="M227" s="167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</row>
    <row r="228" spans="1:26" ht="12.75" customHeight="1" x14ac:dyDescent="0.3">
      <c r="A228" s="167"/>
      <c r="B228" s="177" t="s">
        <v>272</v>
      </c>
      <c r="C228" s="262">
        <v>0.04</v>
      </c>
      <c r="D228" s="263">
        <f>IF(ISNA(VLOOKUP(B228,'Listado de Artículos'!$B$16:$F$1328,5,0)),0,(VLOOKUP(B228,'Listado de Artículos'!$B$16:$F$1328,5,0)))</f>
        <v>2.85</v>
      </c>
      <c r="E228" s="262">
        <v>1</v>
      </c>
      <c r="F228" s="262">
        <v>1</v>
      </c>
      <c r="G228" s="264">
        <f>IF(E228&gt;0,(F228/E228),"")</f>
        <v>1</v>
      </c>
      <c r="H228" s="264">
        <f>IF(E228&gt;0,(100%-G228),"")</f>
        <v>0</v>
      </c>
      <c r="I228" s="265">
        <f>IF(C228&gt;0,(H228*C228/G228),"")</f>
        <v>0</v>
      </c>
      <c r="J228" s="265">
        <f>IF(C228&gt;0,(C228+I228),"")</f>
        <v>0.04</v>
      </c>
      <c r="K228" s="211">
        <f>IF(D228&gt;0,(D228*J228),"")</f>
        <v>0.114</v>
      </c>
      <c r="L228" s="166"/>
      <c r="M228" s="167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</row>
    <row r="229" spans="1:26" ht="21.75" customHeight="1" x14ac:dyDescent="0.3">
      <c r="A229" s="167"/>
      <c r="B229" s="174"/>
      <c r="C229" s="306"/>
      <c r="D229" s="304"/>
      <c r="E229" s="304"/>
      <c r="F229" s="304"/>
      <c r="G229" s="304"/>
      <c r="H229" s="304"/>
      <c r="I229" s="304"/>
      <c r="J229" s="166"/>
      <c r="K229" s="166"/>
      <c r="L229" s="166"/>
      <c r="M229" s="167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</row>
    <row r="230" spans="1:26" ht="12.75" customHeight="1" x14ac:dyDescent="0.25"/>
    <row r="231" spans="1:26" ht="12.75" customHeight="1" x14ac:dyDescent="0.25"/>
    <row r="232" spans="1:26" ht="12.75" customHeight="1" x14ac:dyDescent="0.25"/>
    <row r="233" spans="1:26" ht="12.75" customHeight="1" x14ac:dyDescent="0.25"/>
    <row r="234" spans="1:26" ht="12.75" customHeight="1" x14ac:dyDescent="0.25"/>
    <row r="235" spans="1:26" ht="12.75" customHeight="1" x14ac:dyDescent="0.25"/>
    <row r="236" spans="1:26" ht="12.75" customHeight="1" x14ac:dyDescent="0.25"/>
    <row r="237" spans="1:26" ht="12.75" customHeight="1" x14ac:dyDescent="0.25"/>
    <row r="238" spans="1:26" ht="12.75" customHeight="1" x14ac:dyDescent="0.25"/>
    <row r="239" spans="1:26" ht="12.75" customHeight="1" x14ac:dyDescent="0.25"/>
    <row r="240" spans="1:26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</sheetData>
  <mergeCells count="117">
    <mergeCell ref="H222:I222"/>
    <mergeCell ref="E122:F122"/>
    <mergeCell ref="D120:K120"/>
    <mergeCell ref="H25:I25"/>
    <mergeCell ref="C55:K55"/>
    <mergeCell ref="C117:K117"/>
    <mergeCell ref="H208:I208"/>
    <mergeCell ref="D105:K105"/>
    <mergeCell ref="H195:I195"/>
    <mergeCell ref="C85:K85"/>
    <mergeCell ref="E196:F196"/>
    <mergeCell ref="D194:K194"/>
    <mergeCell ref="C191:K191"/>
    <mergeCell ref="C172:K172"/>
    <mergeCell ref="H106:I106"/>
    <mergeCell ref="C134:K134"/>
    <mergeCell ref="C35:I35"/>
    <mergeCell ref="E75:F75"/>
    <mergeCell ref="D139:G139"/>
    <mergeCell ref="H61:I61"/>
    <mergeCell ref="J176:K176"/>
    <mergeCell ref="J106:K106"/>
    <mergeCell ref="C203:K203"/>
    <mergeCell ref="C229:I229"/>
    <mergeCell ref="J60:K60"/>
    <mergeCell ref="H91:I91"/>
    <mergeCell ref="C202:K202"/>
    <mergeCell ref="E222:F222"/>
    <mergeCell ref="C38:K38"/>
    <mergeCell ref="D8:G8"/>
    <mergeCell ref="C67:I67"/>
    <mergeCell ref="J121:K121"/>
    <mergeCell ref="C21:K21"/>
    <mergeCell ref="E177:F177"/>
    <mergeCell ref="D195:G195"/>
    <mergeCell ref="D176:G176"/>
    <mergeCell ref="H9:I9"/>
    <mergeCell ref="H42:I42"/>
    <mergeCell ref="D42:G42"/>
    <mergeCell ref="D106:G106"/>
    <mergeCell ref="C102:K102"/>
    <mergeCell ref="J25:K25"/>
    <mergeCell ref="H121:I121"/>
    <mergeCell ref="C16:I16"/>
    <mergeCell ref="D161:G161"/>
    <mergeCell ref="J195:K195"/>
    <mergeCell ref="D207:G207"/>
    <mergeCell ref="C3:K3"/>
    <mergeCell ref="D206:K206"/>
    <mergeCell ref="H75:I75"/>
    <mergeCell ref="H43:I43"/>
    <mergeCell ref="H221:I221"/>
    <mergeCell ref="D7:K7"/>
    <mergeCell ref="D121:G121"/>
    <mergeCell ref="C20:K20"/>
    <mergeCell ref="J74:K74"/>
    <mergeCell ref="E208:F208"/>
    <mergeCell ref="C217:K217"/>
    <mergeCell ref="H60:I60"/>
    <mergeCell ref="D59:K59"/>
    <mergeCell ref="C37:K37"/>
    <mergeCell ref="D25:G25"/>
    <mergeCell ref="H74:I74"/>
    <mergeCell ref="D138:K138"/>
    <mergeCell ref="C70:K70"/>
    <mergeCell ref="E61:F61"/>
    <mergeCell ref="C4:K4"/>
    <mergeCell ref="J42:K42"/>
    <mergeCell ref="J207:K207"/>
    <mergeCell ref="J8:K8"/>
    <mergeCell ref="H8:I8"/>
    <mergeCell ref="C216:K216"/>
    <mergeCell ref="H162:I162"/>
    <mergeCell ref="C190:K190"/>
    <mergeCell ref="H90:I90"/>
    <mergeCell ref="D221:G221"/>
    <mergeCell ref="C69:K69"/>
    <mergeCell ref="D24:K24"/>
    <mergeCell ref="D60:G60"/>
    <mergeCell ref="C56:K56"/>
    <mergeCell ref="E26:F26"/>
    <mergeCell ref="D89:K89"/>
    <mergeCell ref="J221:K221"/>
    <mergeCell ref="H26:I26"/>
    <mergeCell ref="D74:G74"/>
    <mergeCell ref="H177:I177"/>
    <mergeCell ref="E140:F140"/>
    <mergeCell ref="D220:K220"/>
    <mergeCell ref="H207:I207"/>
    <mergeCell ref="C116:K116"/>
    <mergeCell ref="C135:K135"/>
    <mergeCell ref="C157:K157"/>
    <mergeCell ref="C53:I53"/>
    <mergeCell ref="C171:K171"/>
    <mergeCell ref="C101:K101"/>
    <mergeCell ref="E9:F9"/>
    <mergeCell ref="C86:K86"/>
    <mergeCell ref="H107:I107"/>
    <mergeCell ref="C156:K156"/>
    <mergeCell ref="E91:F91"/>
    <mergeCell ref="J90:K90"/>
    <mergeCell ref="D41:K41"/>
    <mergeCell ref="H196:I196"/>
    <mergeCell ref="D160:K160"/>
    <mergeCell ref="E43:F43"/>
    <mergeCell ref="H140:I140"/>
    <mergeCell ref="E162:F162"/>
    <mergeCell ref="J161:K161"/>
    <mergeCell ref="H176:I176"/>
    <mergeCell ref="J139:K139"/>
    <mergeCell ref="D175:K175"/>
    <mergeCell ref="H122:I122"/>
    <mergeCell ref="D73:K73"/>
    <mergeCell ref="D90:G90"/>
    <mergeCell ref="E107:F107"/>
    <mergeCell ref="H161:I161"/>
    <mergeCell ref="H139:I139"/>
  </mergeCells>
  <dataValidations count="1">
    <dataValidation type="list" allowBlank="1" showErrorMessage="1" sqref="B12:B15 B29:B34 B46:B52 B64:B66 B78:B83 B94:B99 B110:B114 B125:B131 B143:B154 B165:B169 B180:B188 B199:B200 B211:B214 B225:B228">
      <formula1>Articulo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984"/>
  <sheetViews>
    <sheetView workbookViewId="0"/>
  </sheetViews>
  <sheetFormatPr baseColWidth="10" defaultColWidth="12.6640625" defaultRowHeight="15" customHeight="1" x14ac:dyDescent="0.25"/>
  <cols>
    <col min="1" max="1" width="90.6640625" style="302" customWidth="1"/>
    <col min="2" max="2" width="54" style="302" customWidth="1"/>
    <col min="3" max="5" width="11.33203125" style="302" customWidth="1"/>
    <col min="6" max="6" width="12.21875" style="302" customWidth="1"/>
    <col min="7" max="7" width="14.21875" style="302" customWidth="1"/>
    <col min="8" max="12" width="11.33203125" style="302" customWidth="1"/>
    <col min="13" max="26" width="8.6640625" style="302" customWidth="1"/>
  </cols>
  <sheetData>
    <row r="1" spans="1:12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12" ht="12.75" customHeight="1" x14ac:dyDescent="0.25">
      <c r="A2" s="322" t="s">
        <v>464</v>
      </c>
      <c r="B2" s="323"/>
      <c r="C2" s="323"/>
      <c r="D2" s="323"/>
      <c r="E2" s="323"/>
      <c r="F2" s="324"/>
    </row>
    <row r="3" spans="1:12" ht="12.75" customHeight="1" x14ac:dyDescent="0.25">
      <c r="A3" s="325"/>
      <c r="B3" s="326"/>
      <c r="C3" s="326"/>
      <c r="D3" s="326"/>
      <c r="E3" s="326"/>
      <c r="F3" s="327"/>
    </row>
    <row r="4" spans="1:12" ht="12.75" customHeight="1" x14ac:dyDescent="0.3">
      <c r="A4" s="208" t="s">
        <v>465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2" ht="12.75" customHeight="1" x14ac:dyDescent="0.3">
      <c r="A5" s="198" t="s">
        <v>449</v>
      </c>
      <c r="B5" s="279" t="s">
        <v>450</v>
      </c>
      <c r="C5" s="280" t="s">
        <v>451</v>
      </c>
      <c r="D5" s="199" t="s">
        <v>452</v>
      </c>
      <c r="E5" s="281"/>
    </row>
    <row r="6" spans="1:12" ht="12.75" customHeight="1" x14ac:dyDescent="0.3">
      <c r="A6" s="204" t="s">
        <v>389</v>
      </c>
      <c r="B6" s="262">
        <v>1</v>
      </c>
      <c r="C6" s="263">
        <f>IF(ISNA(VLOOKUP(A6,'Listado de Artículos'!$B$16:$F$1328,5,0)),0,(VLOOKUP(A6,'Listado de Artículos'!$B$16:$F$1328,5,0)))</f>
        <v>0.16574166666666665</v>
      </c>
      <c r="D6" s="211">
        <f>B6*C6</f>
        <v>0.16574166666666665</v>
      </c>
      <c r="E6" s="281"/>
    </row>
    <row r="7" spans="1:12" ht="12.75" customHeight="1" x14ac:dyDescent="0.3">
      <c r="A7" s="204" t="s">
        <v>390</v>
      </c>
      <c r="B7" s="262">
        <v>1</v>
      </c>
      <c r="C7" s="263">
        <f>IF(ISNA(VLOOKUP(A7,'Listado de Artículos'!$B$16:$F$1328,5,0)),0,(VLOOKUP(A7,'Listado de Artículos'!$B$16:$F$1328,5,0)))</f>
        <v>2.0265</v>
      </c>
      <c r="D7" s="211">
        <f>B7*C7</f>
        <v>2.0265</v>
      </c>
      <c r="E7" s="281"/>
    </row>
    <row r="8" spans="1:12" ht="12.75" customHeight="1" x14ac:dyDescent="0.3">
      <c r="A8" s="204" t="s">
        <v>391</v>
      </c>
      <c r="B8" s="262">
        <v>1</v>
      </c>
      <c r="C8" s="263">
        <f>IF(ISNA(VLOOKUP(A8,'Listado de Artículos'!$B$16:$F$1328,5,0)),0,(VLOOKUP(A8,'Listado de Artículos'!$B$16:$F$1328,5,0)))</f>
        <v>3.6789000000000005</v>
      </c>
      <c r="D8" s="211">
        <f>B8*C8</f>
        <v>3.6789000000000005</v>
      </c>
      <c r="E8" s="281"/>
    </row>
    <row r="9" spans="1:12" ht="12.75" customHeight="1" x14ac:dyDescent="0.3">
      <c r="A9" s="209" t="s">
        <v>466</v>
      </c>
      <c r="B9" s="201"/>
      <c r="C9" s="202"/>
      <c r="D9" s="202"/>
      <c r="E9" s="203"/>
    </row>
    <row r="10" spans="1:12" ht="12.75" customHeight="1" x14ac:dyDescent="0.3">
      <c r="A10" s="204" t="s">
        <v>392</v>
      </c>
      <c r="B10" s="290">
        <v>1</v>
      </c>
      <c r="C10" s="291">
        <f>IF(ISNA(VLOOKUP(A10,'Listado de Artículos'!$B$16:$F$1328,5,0)),0,(VLOOKUP(A10,'Listado de Artículos'!$B$16:$F$1328,5,0)))</f>
        <v>15.269499999999999</v>
      </c>
      <c r="D10" s="210">
        <f>B10*C10</f>
        <v>15.269499999999999</v>
      </c>
      <c r="E10" s="292"/>
    </row>
    <row r="11" spans="1:12" ht="12.75" customHeight="1" x14ac:dyDescent="0.3">
      <c r="A11" s="204" t="s">
        <v>123</v>
      </c>
      <c r="B11" s="262">
        <v>1</v>
      </c>
      <c r="C11" s="263">
        <f>IF(ISNA(VLOOKUP(A11,'Listado de Artículos'!$B$16:$F$1328,5,0)),0,(VLOOKUP(A11,'Listado de Artículos'!$B$16:$F$1328,5,0)))</f>
        <v>0.65</v>
      </c>
      <c r="D11" s="211">
        <f>B11*C11</f>
        <v>0.65</v>
      </c>
      <c r="E11" s="281"/>
    </row>
    <row r="12" spans="1:12" ht="12.75" customHeight="1" x14ac:dyDescent="0.3">
      <c r="A12" s="204" t="s">
        <v>48</v>
      </c>
      <c r="B12" s="262">
        <v>0.3</v>
      </c>
      <c r="C12" s="263">
        <f>IF(ISNA(VLOOKUP(A12,'Listado de Artículos'!$B$16:$F$1328,5,0)),0,(VLOOKUP(A12,'Listado de Artículos'!$B$16:$F$1328,5,0)))</f>
        <v>0.8</v>
      </c>
      <c r="D12" s="211">
        <f>B12*C12</f>
        <v>0.24</v>
      </c>
      <c r="E12" s="281"/>
    </row>
    <row r="13" spans="1:12" ht="12.75" customHeight="1" x14ac:dyDescent="0.3">
      <c r="A13" s="204"/>
      <c r="B13" s="283"/>
      <c r="C13" s="284"/>
      <c r="D13" s="285">
        <v>9</v>
      </c>
      <c r="E13" s="281"/>
    </row>
    <row r="14" spans="1:12" ht="12.75" customHeight="1" x14ac:dyDescent="0.3">
      <c r="A14" s="205" t="s">
        <v>455</v>
      </c>
      <c r="B14" s="286">
        <v>95</v>
      </c>
      <c r="C14" s="287">
        <f>B14/1.1</f>
        <v>86.36363636363636</v>
      </c>
      <c r="D14" s="288">
        <f>SUM(D6:D13)</f>
        <v>31.030641666666664</v>
      </c>
      <c r="E14" s="289">
        <f>(D14*100/C14)/100</f>
        <v>0.35930216666666664</v>
      </c>
      <c r="F14" s="206"/>
      <c r="G14" s="206"/>
      <c r="H14" s="206"/>
    </row>
    <row r="15" spans="1:12" ht="12.75" customHeight="1" x14ac:dyDescent="0.25"/>
    <row r="16" spans="1:12" ht="12.75" customHeight="1" x14ac:dyDescent="0.25">
      <c r="C16" s="293">
        <f>C14-D14</f>
        <v>55.332994696969692</v>
      </c>
    </row>
    <row r="17" spans="2:2" ht="12.75" customHeight="1" x14ac:dyDescent="0.25">
      <c r="B17" s="225">
        <f>16.5*10%</f>
        <v>1.6500000000000001</v>
      </c>
    </row>
    <row r="18" spans="2:2" ht="12.75" customHeight="1" x14ac:dyDescent="0.25">
      <c r="B18" s="225">
        <f>16.5-1.65</f>
        <v>14.85</v>
      </c>
    </row>
    <row r="19" spans="2:2" ht="12.75" customHeight="1" x14ac:dyDescent="0.25"/>
    <row r="20" spans="2:2" ht="12.75" customHeight="1" x14ac:dyDescent="0.25"/>
    <row r="21" spans="2:2" ht="12.75" customHeight="1" x14ac:dyDescent="0.25"/>
    <row r="22" spans="2:2" ht="12.75" customHeight="1" x14ac:dyDescent="0.25"/>
    <row r="23" spans="2:2" ht="12.75" customHeight="1" x14ac:dyDescent="0.25"/>
    <row r="24" spans="2:2" ht="12.75" customHeight="1" x14ac:dyDescent="0.25"/>
    <row r="25" spans="2:2" ht="12.75" customHeight="1" x14ac:dyDescent="0.25"/>
    <row r="26" spans="2:2" ht="12.75" customHeight="1" x14ac:dyDescent="0.25"/>
    <row r="27" spans="2:2" ht="12.75" customHeight="1" x14ac:dyDescent="0.25"/>
    <row r="28" spans="2:2" ht="12.75" customHeight="1" x14ac:dyDescent="0.25"/>
    <row r="29" spans="2:2" ht="12.75" customHeight="1" x14ac:dyDescent="0.25"/>
    <row r="30" spans="2:2" ht="12.75" customHeight="1" x14ac:dyDescent="0.25"/>
    <row r="31" spans="2:2" ht="12.75" customHeight="1" x14ac:dyDescent="0.25"/>
    <row r="32" spans="2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</sheetData>
  <mergeCells count="1">
    <mergeCell ref="A2:F3"/>
  </mergeCells>
  <conditionalFormatting sqref="C13">
    <cfRule type="cellIs" dxfId="31" priority="1" stopIfTrue="1" operator="lessThan">
      <formula>0</formula>
    </cfRule>
    <cfRule type="cellIs" dxfId="30" priority="2" stopIfTrue="1" operator="lessThan">
      <formula>0</formula>
    </cfRule>
    <cfRule type="cellIs" dxfId="29" priority="3" stopIfTrue="1" operator="lessThan">
      <formula>0</formula>
    </cfRule>
  </conditionalFormatting>
  <conditionalFormatting sqref="C14">
    <cfRule type="cellIs" dxfId="28" priority="4" stopIfTrue="1" operator="lessThan">
      <formula>0</formula>
    </cfRule>
  </conditionalFormatting>
  <dataValidations count="1">
    <dataValidation type="list" allowBlank="1" showErrorMessage="1" sqref="A5:A8 A10:A13">
      <formula1>Articulo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1000"/>
  <sheetViews>
    <sheetView workbookViewId="0"/>
  </sheetViews>
  <sheetFormatPr baseColWidth="10" defaultColWidth="12.6640625" defaultRowHeight="15" customHeight="1" x14ac:dyDescent="0.25"/>
  <cols>
    <col min="1" max="1" width="9.21875" style="302" customWidth="1"/>
    <col min="2" max="2" width="62.21875" style="302" customWidth="1"/>
    <col min="3" max="10" width="11.33203125" style="302" customWidth="1"/>
    <col min="11" max="11" width="17" style="302" customWidth="1"/>
    <col min="12" max="12" width="55.6640625" style="302" customWidth="1"/>
    <col min="13" max="13" width="11.33203125" style="302" customWidth="1"/>
    <col min="14" max="26" width="8.6640625" style="302" customWidth="1"/>
  </cols>
  <sheetData>
    <row r="1" spans="1:26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26" ht="12.75" customHeight="1" x14ac:dyDescent="0.3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spans="1:26" ht="12.75" customHeight="1" x14ac:dyDescent="0.3">
      <c r="A3" s="167"/>
      <c r="B3" s="166"/>
      <c r="C3" s="303" t="s">
        <v>405</v>
      </c>
      <c r="D3" s="304"/>
      <c r="E3" s="304"/>
      <c r="F3" s="304"/>
      <c r="G3" s="304"/>
      <c r="H3" s="304"/>
      <c r="I3" s="304"/>
      <c r="J3" s="304"/>
      <c r="K3" s="305"/>
      <c r="L3" s="166"/>
      <c r="M3" s="167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spans="1:26" ht="12.75" customHeight="1" x14ac:dyDescent="0.3">
      <c r="A4" s="167"/>
      <c r="B4" s="166"/>
      <c r="C4" s="316" t="s">
        <v>406</v>
      </c>
      <c r="D4" s="304"/>
      <c r="E4" s="304"/>
      <c r="F4" s="304"/>
      <c r="G4" s="304"/>
      <c r="H4" s="304"/>
      <c r="I4" s="304"/>
      <c r="J4" s="304"/>
      <c r="K4" s="305"/>
      <c r="L4" s="166"/>
      <c r="M4" s="167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spans="1:26" ht="12.75" customHeight="1" x14ac:dyDescent="0.3">
      <c r="A5" s="167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7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spans="1:26" ht="12.75" customHeight="1" x14ac:dyDescent="0.3">
      <c r="A6" s="167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7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spans="1:26" ht="12.75" customHeight="1" x14ac:dyDescent="0.3">
      <c r="A7" s="167"/>
      <c r="B7" s="167"/>
      <c r="C7" s="168" t="s">
        <v>407</v>
      </c>
      <c r="D7" s="309" t="s">
        <v>467</v>
      </c>
      <c r="E7" s="310"/>
      <c r="F7" s="310"/>
      <c r="G7" s="310"/>
      <c r="H7" s="310"/>
      <c r="I7" s="310"/>
      <c r="J7" s="310"/>
      <c r="K7" s="310"/>
      <c r="L7" s="166"/>
      <c r="M7" s="167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spans="1:26" ht="12.75" customHeight="1" x14ac:dyDescent="0.3">
      <c r="A8" s="169"/>
      <c r="B8" s="169"/>
      <c r="C8" s="170" t="s">
        <v>409</v>
      </c>
      <c r="D8" s="311" t="s">
        <v>410</v>
      </c>
      <c r="E8" s="312"/>
      <c r="F8" s="312"/>
      <c r="G8" s="313"/>
      <c r="H8" s="321"/>
      <c r="I8" s="308"/>
      <c r="J8" s="320"/>
      <c r="K8" s="308"/>
      <c r="L8" s="167"/>
      <c r="M8" s="167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spans="1:26" ht="12.75" customHeight="1" x14ac:dyDescent="0.3">
      <c r="A9" s="167"/>
      <c r="B9" s="166"/>
      <c r="C9" s="171" t="s">
        <v>411</v>
      </c>
      <c r="D9" s="260">
        <v>1</v>
      </c>
      <c r="E9" s="317" t="s">
        <v>412</v>
      </c>
      <c r="F9" s="318"/>
      <c r="G9" s="172">
        <f>SUM(K12:K14)</f>
        <v>1.45075</v>
      </c>
      <c r="H9" s="314" t="s">
        <v>413</v>
      </c>
      <c r="I9" s="315"/>
      <c r="J9" s="261">
        <f>G9/D9</f>
        <v>1.45075</v>
      </c>
      <c r="K9" s="173"/>
      <c r="L9" s="166"/>
      <c r="M9" s="167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spans="1:26" ht="12.75" customHeight="1" x14ac:dyDescent="0.3">
      <c r="A10" s="167"/>
      <c r="B10" s="174"/>
      <c r="C10" s="174"/>
      <c r="D10" s="174"/>
      <c r="E10" s="174"/>
      <c r="F10" s="174"/>
      <c r="G10" s="174"/>
      <c r="H10" s="174"/>
      <c r="I10" s="174"/>
      <c r="J10" s="166"/>
      <c r="K10" s="166"/>
      <c r="L10" s="166"/>
      <c r="M10" s="167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spans="1:26" ht="12.75" customHeight="1" x14ac:dyDescent="0.3">
      <c r="A11" s="167"/>
      <c r="B11" s="175" t="s">
        <v>414</v>
      </c>
      <c r="C11" s="219" t="s">
        <v>415</v>
      </c>
      <c r="D11" s="219" t="s">
        <v>416</v>
      </c>
      <c r="E11" s="219" t="s">
        <v>417</v>
      </c>
      <c r="F11" s="219" t="s">
        <v>418</v>
      </c>
      <c r="G11" s="219" t="s">
        <v>419</v>
      </c>
      <c r="H11" s="219" t="s">
        <v>420</v>
      </c>
      <c r="I11" s="219" t="s">
        <v>421</v>
      </c>
      <c r="J11" s="219" t="s">
        <v>422</v>
      </c>
      <c r="K11" s="220" t="s">
        <v>423</v>
      </c>
      <c r="L11" s="166"/>
      <c r="M11" s="167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spans="1:26" ht="12.75" customHeight="1" x14ac:dyDescent="0.3">
      <c r="A12" s="167"/>
      <c r="B12" s="178" t="s">
        <v>251</v>
      </c>
      <c r="C12" s="262">
        <v>0.1</v>
      </c>
      <c r="D12" s="263">
        <f>IF(ISNA(VLOOKUP(B12,'Listado de Artículos'!$B$16:$F$1328,5,0)),0,(VLOOKUP(B12,'Listado de Artículos'!$B$16:$F$1328,5,0)))</f>
        <v>5.62</v>
      </c>
      <c r="E12" s="262">
        <v>1</v>
      </c>
      <c r="F12" s="262">
        <v>1</v>
      </c>
      <c r="G12" s="264">
        <f>IF(E12&gt;0,(F12/E12),"")</f>
        <v>1</v>
      </c>
      <c r="H12" s="264">
        <f>IF(E12&gt;0,(100%-G12),"")</f>
        <v>0</v>
      </c>
      <c r="I12" s="265">
        <f>IF(C12&gt;0,(H12*C12/G12),"")</f>
        <v>0</v>
      </c>
      <c r="J12" s="265">
        <f>IF(C12&gt;0,(C12+I12),"")</f>
        <v>0.1</v>
      </c>
      <c r="K12" s="211">
        <f>IF(D12&gt;0,(D12*J12),"")</f>
        <v>0.56200000000000006</v>
      </c>
      <c r="L12" s="166"/>
      <c r="M12" s="167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spans="1:26" ht="12.75" customHeight="1" x14ac:dyDescent="0.3">
      <c r="A13" s="167"/>
      <c r="B13" s="177" t="s">
        <v>257</v>
      </c>
      <c r="C13" s="262">
        <v>2.5000000000000001E-2</v>
      </c>
      <c r="D13" s="263">
        <f>IF(ISNA(VLOOKUP(B13,'Listado de Artículos'!$B$16:$F$1328,5,0)),0,(VLOOKUP(B13,'Listado de Artículos'!$B$16:$F$1328,5,0)))</f>
        <v>17.55</v>
      </c>
      <c r="E13" s="262">
        <v>1</v>
      </c>
      <c r="F13" s="262">
        <v>1</v>
      </c>
      <c r="G13" s="264">
        <f>IF(E13&gt;0,(F13/E13),"")</f>
        <v>1</v>
      </c>
      <c r="H13" s="264">
        <f>IF(E13&gt;0,(100%-G13),"")</f>
        <v>0</v>
      </c>
      <c r="I13" s="265">
        <f>IF(C13&gt;0,(H13*C13/G13),"")</f>
        <v>0</v>
      </c>
      <c r="J13" s="265">
        <f>IF(C13&gt;0,(C13+I13),"")</f>
        <v>2.5000000000000001E-2</v>
      </c>
      <c r="K13" s="211">
        <f>IF(D13&gt;0,(D13*J13),"")</f>
        <v>0.43875000000000003</v>
      </c>
      <c r="L13" s="166"/>
      <c r="M13" s="167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spans="1:26" ht="12.75" customHeight="1" x14ac:dyDescent="0.3">
      <c r="A14" s="167"/>
      <c r="B14" s="177" t="s">
        <v>265</v>
      </c>
      <c r="C14" s="262">
        <v>0.05</v>
      </c>
      <c r="D14" s="263">
        <f>IF(ISNA(VLOOKUP(B14,'Listado de Artículos'!$B$16:$F$1328,5,0)),0,(VLOOKUP(B14,'Listado de Artículos'!$B$16:$F$1328,5,0)))</f>
        <v>9</v>
      </c>
      <c r="E14" s="262">
        <v>1</v>
      </c>
      <c r="F14" s="262">
        <v>1</v>
      </c>
      <c r="G14" s="264">
        <f>IF(E14&gt;0,(F14/E14),"")</f>
        <v>1</v>
      </c>
      <c r="H14" s="264">
        <f>IF(E14&gt;0,(100%-G14),"")</f>
        <v>0</v>
      </c>
      <c r="I14" s="265">
        <f>IF(C14&gt;0,(H14*C14/G14),"")</f>
        <v>0</v>
      </c>
      <c r="J14" s="265">
        <f>IF(C14&gt;0,(C14+I14),"")</f>
        <v>0.05</v>
      </c>
      <c r="K14" s="211">
        <f>IF(D14&gt;0,(D14*J14),"")</f>
        <v>0.45</v>
      </c>
      <c r="L14" s="166"/>
      <c r="M14" s="167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spans="1:26" ht="12.75" customHeight="1" x14ac:dyDescent="0.3">
      <c r="A15" s="167"/>
      <c r="B15" s="174"/>
      <c r="C15" s="306"/>
      <c r="D15" s="304"/>
      <c r="E15" s="304"/>
      <c r="F15" s="304"/>
      <c r="G15" s="304"/>
      <c r="H15" s="304"/>
      <c r="I15" s="304"/>
      <c r="J15" s="166"/>
      <c r="K15" s="166"/>
      <c r="L15" s="166"/>
      <c r="M15" s="167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spans="1:26" ht="12.75" customHeight="1" x14ac:dyDescent="0.3">
      <c r="A16" s="164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4"/>
    </row>
    <row r="17" spans="1:26" ht="12.75" customHeight="1" x14ac:dyDescent="0.3">
      <c r="A17" s="164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4"/>
    </row>
    <row r="18" spans="1:26" ht="12.75" customHeight="1" x14ac:dyDescent="0.3">
      <c r="A18" s="166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spans="1:26" ht="12.75" customHeight="1" x14ac:dyDescent="0.3">
      <c r="A19" s="167"/>
      <c r="B19" s="166"/>
      <c r="C19" s="303" t="s">
        <v>405</v>
      </c>
      <c r="D19" s="304"/>
      <c r="E19" s="304"/>
      <c r="F19" s="304"/>
      <c r="G19" s="304"/>
      <c r="H19" s="304"/>
      <c r="I19" s="304"/>
      <c r="J19" s="304"/>
      <c r="K19" s="305"/>
      <c r="L19" s="166"/>
      <c r="M19" s="167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spans="1:26" ht="12.75" customHeight="1" x14ac:dyDescent="0.3">
      <c r="A20" s="167"/>
      <c r="B20" s="166"/>
      <c r="C20" s="316" t="s">
        <v>406</v>
      </c>
      <c r="D20" s="304"/>
      <c r="E20" s="304"/>
      <c r="F20" s="304"/>
      <c r="G20" s="304"/>
      <c r="H20" s="304"/>
      <c r="I20" s="304"/>
      <c r="J20" s="304"/>
      <c r="K20" s="305"/>
      <c r="L20" s="166"/>
      <c r="M20" s="167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spans="1:26" ht="12.75" customHeight="1" x14ac:dyDescent="0.3">
      <c r="A21" s="167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7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spans="1:26" ht="12.75" customHeight="1" x14ac:dyDescent="0.3">
      <c r="A22" s="167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7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 spans="1:26" ht="12.75" customHeight="1" x14ac:dyDescent="0.3">
      <c r="A23" s="167"/>
      <c r="B23" s="167"/>
      <c r="C23" s="168" t="s">
        <v>407</v>
      </c>
      <c r="D23" s="309" t="s">
        <v>468</v>
      </c>
      <c r="E23" s="310"/>
      <c r="F23" s="310"/>
      <c r="G23" s="310"/>
      <c r="H23" s="310"/>
      <c r="I23" s="310"/>
      <c r="J23" s="310"/>
      <c r="K23" s="310"/>
      <c r="L23" s="166"/>
      <c r="M23" s="167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 spans="1:26" ht="12.75" customHeight="1" x14ac:dyDescent="0.3">
      <c r="A24" s="169"/>
      <c r="B24" s="169"/>
      <c r="C24" s="170" t="s">
        <v>409</v>
      </c>
      <c r="D24" s="311" t="s">
        <v>410</v>
      </c>
      <c r="E24" s="312"/>
      <c r="F24" s="312"/>
      <c r="G24" s="313"/>
      <c r="H24" s="319" t="s">
        <v>459</v>
      </c>
      <c r="I24" s="315"/>
      <c r="J24" s="328"/>
      <c r="K24" s="308"/>
      <c r="L24" s="167"/>
      <c r="M24" s="167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 spans="1:26" ht="12.75" customHeight="1" x14ac:dyDescent="0.3">
      <c r="A25" s="167"/>
      <c r="B25" s="166"/>
      <c r="C25" s="171" t="s">
        <v>430</v>
      </c>
      <c r="D25" s="260">
        <v>1</v>
      </c>
      <c r="E25" s="317" t="s">
        <v>412</v>
      </c>
      <c r="F25" s="318"/>
      <c r="G25" s="172">
        <f>SUM(K28:K29)</f>
        <v>2.6722999999999999</v>
      </c>
      <c r="H25" s="314" t="s">
        <v>460</v>
      </c>
      <c r="I25" s="315"/>
      <c r="J25" s="261">
        <f>G25/D25</f>
        <v>2.6722999999999999</v>
      </c>
      <c r="K25" s="173"/>
      <c r="L25" s="166"/>
      <c r="M25" s="167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 spans="1:26" ht="12.75" customHeight="1" x14ac:dyDescent="0.3">
      <c r="A26" s="167"/>
      <c r="B26" s="174"/>
      <c r="C26" s="174"/>
      <c r="D26" s="174"/>
      <c r="E26" s="174"/>
      <c r="F26" s="174"/>
      <c r="G26" s="174"/>
      <c r="H26" s="174"/>
      <c r="I26" s="174"/>
      <c r="J26" s="166"/>
      <c r="K26" s="166"/>
      <c r="L26" s="166"/>
      <c r="M26" s="167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 spans="1:26" ht="12.75" customHeight="1" x14ac:dyDescent="0.3">
      <c r="A27" s="167"/>
      <c r="B27" s="175" t="s">
        <v>414</v>
      </c>
      <c r="C27" s="219" t="s">
        <v>415</v>
      </c>
      <c r="D27" s="219" t="s">
        <v>416</v>
      </c>
      <c r="E27" s="219" t="s">
        <v>417</v>
      </c>
      <c r="F27" s="219" t="s">
        <v>418</v>
      </c>
      <c r="G27" s="219" t="s">
        <v>419</v>
      </c>
      <c r="H27" s="219" t="s">
        <v>420</v>
      </c>
      <c r="I27" s="219" t="s">
        <v>421</v>
      </c>
      <c r="J27" s="219" t="s">
        <v>422</v>
      </c>
      <c r="K27" s="220" t="s">
        <v>423</v>
      </c>
      <c r="L27" s="166"/>
      <c r="M27" s="167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spans="1:26" ht="12.75" customHeight="1" x14ac:dyDescent="0.3">
      <c r="A28" s="167"/>
      <c r="B28" s="178" t="s">
        <v>257</v>
      </c>
      <c r="C28" s="262">
        <v>0.15</v>
      </c>
      <c r="D28" s="263">
        <f>IF(ISNA(VLOOKUP(B28,'Listado de Artículos'!$B$16:$F$1328,5,0)),0,(VLOOKUP(B28,'Listado de Artículos'!$B$16:$F$1328,5,0)))</f>
        <v>17.55</v>
      </c>
      <c r="E28" s="262">
        <v>1</v>
      </c>
      <c r="F28" s="262">
        <v>1</v>
      </c>
      <c r="G28" s="264">
        <f>IF(E28&gt;0,(F28/E28),"")</f>
        <v>1</v>
      </c>
      <c r="H28" s="264">
        <f>IF(E28&gt;0,(100%-G28),"")</f>
        <v>0</v>
      </c>
      <c r="I28" s="265">
        <f>IF(C28&gt;0,(H28*C28/G28),"")</f>
        <v>0</v>
      </c>
      <c r="J28" s="265">
        <f>IF(C28&gt;0,(C28+I28),"")</f>
        <v>0.15</v>
      </c>
      <c r="K28" s="211">
        <f>IF(D28&gt;0,(D28*J28),"")</f>
        <v>2.6324999999999998</v>
      </c>
      <c r="L28" s="166"/>
      <c r="M28" s="167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spans="1:26" ht="12.75" customHeight="1" x14ac:dyDescent="0.3">
      <c r="A29" s="167"/>
      <c r="B29" s="177" t="s">
        <v>248</v>
      </c>
      <c r="C29" s="262">
        <v>0.01</v>
      </c>
      <c r="D29" s="263">
        <f>IF(ISNA(VLOOKUP(B29,'Listado de Artículos'!$B$16:$F$1328,5,0)),0,(VLOOKUP(B29,'Listado de Artículos'!$B$16:$F$1328,5,0)))</f>
        <v>3.98</v>
      </c>
      <c r="E29" s="262">
        <v>1</v>
      </c>
      <c r="F29" s="262">
        <v>1</v>
      </c>
      <c r="G29" s="264">
        <f>IF(E29&gt;0,(F29/E29),"")</f>
        <v>1</v>
      </c>
      <c r="H29" s="264">
        <f>IF(E29&gt;0,(100%-G29),"")</f>
        <v>0</v>
      </c>
      <c r="I29" s="265">
        <f>IF(C29&gt;0,(H29*C29/G29),"")</f>
        <v>0</v>
      </c>
      <c r="J29" s="265">
        <f>IF(C29&gt;0,(C29+I29),"")</f>
        <v>0.01</v>
      </c>
      <c r="K29" s="211">
        <f>IF(D29&gt;0,(D29*J29),"")</f>
        <v>3.9800000000000002E-2</v>
      </c>
      <c r="L29" s="166"/>
      <c r="M29" s="167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spans="1:26" ht="12.75" customHeight="1" x14ac:dyDescent="0.3">
      <c r="A30" s="167"/>
      <c r="B30" s="174"/>
      <c r="C30" s="306"/>
      <c r="D30" s="304"/>
      <c r="E30" s="304"/>
      <c r="F30" s="304"/>
      <c r="G30" s="304"/>
      <c r="H30" s="304"/>
      <c r="I30" s="304"/>
      <c r="J30" s="166"/>
      <c r="K30" s="166"/>
      <c r="L30" s="166"/>
      <c r="M30" s="167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spans="1:26" ht="12.75" customHeight="1" x14ac:dyDescent="0.3">
      <c r="A31" s="164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4"/>
    </row>
    <row r="32" spans="1:26" ht="12.75" customHeight="1" x14ac:dyDescent="0.3">
      <c r="A32" s="167"/>
      <c r="B32" s="166"/>
      <c r="C32" s="303" t="s">
        <v>405</v>
      </c>
      <c r="D32" s="304"/>
      <c r="E32" s="304"/>
      <c r="F32" s="304"/>
      <c r="G32" s="304"/>
      <c r="H32" s="304"/>
      <c r="I32" s="304"/>
      <c r="J32" s="304"/>
      <c r="K32" s="305"/>
      <c r="L32" s="166"/>
      <c r="M32" s="167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 spans="1:26" ht="12.75" customHeight="1" x14ac:dyDescent="0.3">
      <c r="A33" s="167"/>
      <c r="B33" s="166"/>
      <c r="C33" s="316" t="s">
        <v>406</v>
      </c>
      <c r="D33" s="304"/>
      <c r="E33" s="304"/>
      <c r="F33" s="304"/>
      <c r="G33" s="304"/>
      <c r="H33" s="304"/>
      <c r="I33" s="304"/>
      <c r="J33" s="304"/>
      <c r="K33" s="305"/>
      <c r="L33" s="166"/>
      <c r="M33" s="167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spans="1:26" ht="12.75" customHeight="1" x14ac:dyDescent="0.3">
      <c r="A34" s="167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7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 spans="1:26" ht="12.75" customHeight="1" x14ac:dyDescent="0.3">
      <c r="A35" s="167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7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 spans="1:26" ht="12.75" customHeight="1" x14ac:dyDescent="0.3">
      <c r="A36" s="167"/>
      <c r="B36" s="167"/>
      <c r="C36" s="168" t="s">
        <v>407</v>
      </c>
      <c r="D36" s="309" t="s">
        <v>469</v>
      </c>
      <c r="E36" s="310"/>
      <c r="F36" s="310"/>
      <c r="G36" s="310"/>
      <c r="H36" s="310"/>
      <c r="I36" s="310"/>
      <c r="J36" s="310"/>
      <c r="K36" s="310"/>
      <c r="L36" s="166"/>
      <c r="M36" s="167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spans="1:26" ht="12.75" customHeight="1" x14ac:dyDescent="0.3">
      <c r="A37" s="169"/>
      <c r="B37" s="169"/>
      <c r="C37" s="170" t="s">
        <v>409</v>
      </c>
      <c r="D37" s="311" t="s">
        <v>425</v>
      </c>
      <c r="E37" s="312"/>
      <c r="F37" s="312"/>
      <c r="G37" s="313"/>
      <c r="H37" s="319" t="s">
        <v>426</v>
      </c>
      <c r="I37" s="315"/>
      <c r="J37" s="307"/>
      <c r="K37" s="308"/>
      <c r="L37" s="167"/>
      <c r="M37" s="167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spans="1:26" ht="12.75" customHeight="1" x14ac:dyDescent="0.3">
      <c r="A38" s="167"/>
      <c r="B38" s="166"/>
      <c r="C38" s="171" t="s">
        <v>411</v>
      </c>
      <c r="D38" s="207">
        <v>7</v>
      </c>
      <c r="E38" s="317" t="s">
        <v>412</v>
      </c>
      <c r="F38" s="318"/>
      <c r="G38" s="172">
        <f>SUM(K41:K47)</f>
        <v>5.8884800000000004</v>
      </c>
      <c r="H38" s="314" t="s">
        <v>427</v>
      </c>
      <c r="I38" s="315"/>
      <c r="J38" s="261">
        <f>G38/D38</f>
        <v>0.84121142857142861</v>
      </c>
      <c r="K38" s="270"/>
      <c r="L38" s="166"/>
      <c r="M38" s="167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spans="1:26" ht="12.75" customHeight="1" x14ac:dyDescent="0.3">
      <c r="A39" s="167"/>
      <c r="B39" s="174"/>
      <c r="C39" s="174"/>
      <c r="D39" s="174"/>
      <c r="E39" s="174"/>
      <c r="F39" s="174"/>
      <c r="G39" s="174"/>
      <c r="H39" s="174"/>
      <c r="I39" s="174"/>
      <c r="J39" s="166"/>
      <c r="K39" s="166"/>
      <c r="L39" s="166"/>
      <c r="M39" s="167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spans="1:26" ht="12.75" customHeight="1" x14ac:dyDescent="0.3">
      <c r="A40" s="167"/>
      <c r="B40" s="175" t="s">
        <v>414</v>
      </c>
      <c r="C40" s="219" t="s">
        <v>415</v>
      </c>
      <c r="D40" s="219" t="s">
        <v>416</v>
      </c>
      <c r="E40" s="219" t="s">
        <v>417</v>
      </c>
      <c r="F40" s="219" t="s">
        <v>418</v>
      </c>
      <c r="G40" s="219" t="s">
        <v>419</v>
      </c>
      <c r="H40" s="219" t="s">
        <v>420</v>
      </c>
      <c r="I40" s="219" t="s">
        <v>421</v>
      </c>
      <c r="J40" s="219" t="s">
        <v>422</v>
      </c>
      <c r="K40" s="220" t="s">
        <v>423</v>
      </c>
      <c r="L40" s="166"/>
      <c r="M40" s="167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spans="1:26" ht="12.75" customHeight="1" x14ac:dyDescent="0.3">
      <c r="A41" s="167"/>
      <c r="B41" s="177" t="s">
        <v>221</v>
      </c>
      <c r="C41" s="262">
        <v>1</v>
      </c>
      <c r="D41" s="263">
        <f>IF(ISNA(VLOOKUP(B41,'Listado de Artículos'!$B$16:$F$1328,5,0)),0,(VLOOKUP(B41,'Listado de Artículos'!$B$16:$F$1328,5,0)))</f>
        <v>2.8</v>
      </c>
      <c r="E41" s="262">
        <v>1</v>
      </c>
      <c r="F41" s="262">
        <v>1</v>
      </c>
      <c r="G41" s="264">
        <f t="shared" ref="G41:G47" si="0">IF(E41&gt;0,(F41/E41),"")</f>
        <v>1</v>
      </c>
      <c r="H41" s="264">
        <f t="shared" ref="H41:H47" si="1">IF(E41&gt;0,(100%-G41),"")</f>
        <v>0</v>
      </c>
      <c r="I41" s="265">
        <f t="shared" ref="I41:I47" si="2">IF(C41&gt;0,(H41*C41/G41),"")</f>
        <v>0</v>
      </c>
      <c r="J41" s="265">
        <f t="shared" ref="J41:J47" si="3">IF(C41&gt;0,(C41+I41),"")</f>
        <v>1</v>
      </c>
      <c r="K41" s="211">
        <f t="shared" ref="K41:K47" si="4">IF(D41&gt;0,(D41*J41),"")</f>
        <v>2.8</v>
      </c>
      <c r="L41" s="166"/>
      <c r="M41" s="167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spans="1:26" ht="12.75" customHeight="1" x14ac:dyDescent="0.3">
      <c r="A42" s="167"/>
      <c r="B42" s="177" t="s">
        <v>127</v>
      </c>
      <c r="C42" s="262">
        <v>1.6E-2</v>
      </c>
      <c r="D42" s="263">
        <f>IF(ISNA(VLOOKUP(B42,'Listado de Artículos'!$B$16:$F$1328,5,0)),0,(VLOOKUP(B42,'Listado de Artículos'!$B$16:$F$1328,5,0)))</f>
        <v>5.73</v>
      </c>
      <c r="E42" s="262">
        <v>1</v>
      </c>
      <c r="F42" s="262">
        <v>1</v>
      </c>
      <c r="G42" s="264">
        <f t="shared" si="0"/>
        <v>1</v>
      </c>
      <c r="H42" s="264">
        <f t="shared" si="1"/>
        <v>0</v>
      </c>
      <c r="I42" s="265">
        <f t="shared" si="2"/>
        <v>0</v>
      </c>
      <c r="J42" s="265">
        <f t="shared" si="3"/>
        <v>1.6E-2</v>
      </c>
      <c r="K42" s="211">
        <f t="shared" si="4"/>
        <v>9.1680000000000011E-2</v>
      </c>
      <c r="L42" s="166"/>
      <c r="M42" s="167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spans="1:26" ht="12.75" customHeight="1" x14ac:dyDescent="0.3">
      <c r="A43" s="167"/>
      <c r="B43" s="177" t="s">
        <v>256</v>
      </c>
      <c r="C43" s="262">
        <v>0.04</v>
      </c>
      <c r="D43" s="263">
        <f>IF(ISNA(VLOOKUP(B43,'Listado de Artículos'!$B$16:$F$1328,5,0)),0,(VLOOKUP(B43,'Listado de Artículos'!$B$16:$F$1328,5,0)))</f>
        <v>21.5</v>
      </c>
      <c r="E43" s="262">
        <v>1</v>
      </c>
      <c r="F43" s="262">
        <v>1</v>
      </c>
      <c r="G43" s="264">
        <f t="shared" si="0"/>
        <v>1</v>
      </c>
      <c r="H43" s="264">
        <f t="shared" si="1"/>
        <v>0</v>
      </c>
      <c r="I43" s="265">
        <f t="shared" si="2"/>
        <v>0</v>
      </c>
      <c r="J43" s="265">
        <f t="shared" si="3"/>
        <v>0.04</v>
      </c>
      <c r="K43" s="211">
        <f t="shared" si="4"/>
        <v>0.86</v>
      </c>
      <c r="L43" s="166"/>
      <c r="M43" s="167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spans="1:26" ht="12.75" customHeight="1" x14ac:dyDescent="0.3">
      <c r="A44" s="167"/>
      <c r="B44" s="177" t="s">
        <v>231</v>
      </c>
      <c r="C44" s="262">
        <v>0.04</v>
      </c>
      <c r="D44" s="263">
        <f>IF(ISNA(VLOOKUP(B44,'Listado de Artículos'!$B$16:$F$1328,5,0)),0,(VLOOKUP(B44,'Listado de Artículos'!$B$16:$F$1328,5,0)))</f>
        <v>1.38</v>
      </c>
      <c r="E44" s="262">
        <v>1</v>
      </c>
      <c r="F44" s="262">
        <v>1</v>
      </c>
      <c r="G44" s="264">
        <f t="shared" si="0"/>
        <v>1</v>
      </c>
      <c r="H44" s="264">
        <f t="shared" si="1"/>
        <v>0</v>
      </c>
      <c r="I44" s="265">
        <f t="shared" si="2"/>
        <v>0</v>
      </c>
      <c r="J44" s="265">
        <f t="shared" si="3"/>
        <v>0.04</v>
      </c>
      <c r="K44" s="211">
        <f t="shared" si="4"/>
        <v>5.5199999999999999E-2</v>
      </c>
      <c r="L44" s="166"/>
      <c r="M44" s="167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spans="1:26" ht="12.75" customHeight="1" x14ac:dyDescent="0.3">
      <c r="A45" s="167"/>
      <c r="B45" s="177" t="s">
        <v>87</v>
      </c>
      <c r="C45" s="262">
        <v>0.14000000000000001</v>
      </c>
      <c r="D45" s="263">
        <f>IF(ISNA(VLOOKUP(B45,'Listado de Artículos'!$B$16:$F$1328,5,0)),0,(VLOOKUP(B45,'Listado de Artículos'!$B$16:$F$1328,5,0)))</f>
        <v>0.82</v>
      </c>
      <c r="E45" s="262">
        <v>1</v>
      </c>
      <c r="F45" s="262">
        <v>1</v>
      </c>
      <c r="G45" s="264">
        <f t="shared" si="0"/>
        <v>1</v>
      </c>
      <c r="H45" s="264">
        <f t="shared" si="1"/>
        <v>0</v>
      </c>
      <c r="I45" s="265">
        <f t="shared" si="2"/>
        <v>0</v>
      </c>
      <c r="J45" s="265">
        <f t="shared" si="3"/>
        <v>0.14000000000000001</v>
      </c>
      <c r="K45" s="211">
        <f t="shared" si="4"/>
        <v>0.1148</v>
      </c>
      <c r="L45" s="166"/>
      <c r="M45" s="167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spans="1:26" ht="12.75" customHeight="1" x14ac:dyDescent="0.3">
      <c r="A46" s="167"/>
      <c r="B46" s="177" t="s">
        <v>236</v>
      </c>
      <c r="C46" s="262">
        <v>0.04</v>
      </c>
      <c r="D46" s="263">
        <f>IF(ISNA(VLOOKUP(B46,'Listado de Artículos'!$B$16:$F$1328,5,0)),0,(VLOOKUP(B46,'Listado de Artículos'!$B$16:$F$1328,5,0)))</f>
        <v>3.67</v>
      </c>
      <c r="E46" s="262">
        <v>1</v>
      </c>
      <c r="F46" s="262">
        <v>1</v>
      </c>
      <c r="G46" s="264">
        <f t="shared" si="0"/>
        <v>1</v>
      </c>
      <c r="H46" s="264">
        <f t="shared" si="1"/>
        <v>0</v>
      </c>
      <c r="I46" s="265">
        <f t="shared" si="2"/>
        <v>0</v>
      </c>
      <c r="J46" s="265">
        <f t="shared" si="3"/>
        <v>0.04</v>
      </c>
      <c r="K46" s="211">
        <f t="shared" si="4"/>
        <v>0.14680000000000001</v>
      </c>
      <c r="L46" s="166"/>
      <c r="M46" s="167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spans="1:26" ht="12.75" customHeight="1" x14ac:dyDescent="0.3">
      <c r="A47" s="167"/>
      <c r="B47" s="177" t="s">
        <v>211</v>
      </c>
      <c r="C47" s="262">
        <v>7</v>
      </c>
      <c r="D47" s="263">
        <f>IF(ISNA(VLOOKUP(B47,'Listado de Artículos'!$B$16:$F$1328,5,0)),0,(VLOOKUP(B47,'Listado de Artículos'!$B$16:$F$1328,5,0)))</f>
        <v>0.26</v>
      </c>
      <c r="E47" s="262">
        <v>1</v>
      </c>
      <c r="F47" s="262">
        <v>1</v>
      </c>
      <c r="G47" s="264">
        <f t="shared" si="0"/>
        <v>1</v>
      </c>
      <c r="H47" s="264">
        <f t="shared" si="1"/>
        <v>0</v>
      </c>
      <c r="I47" s="265">
        <f t="shared" si="2"/>
        <v>0</v>
      </c>
      <c r="J47" s="265">
        <f t="shared" si="3"/>
        <v>7</v>
      </c>
      <c r="K47" s="211">
        <f t="shared" si="4"/>
        <v>1.82</v>
      </c>
      <c r="L47" s="166"/>
      <c r="M47" s="167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 spans="1:26" ht="12.75" customHeight="1" x14ac:dyDescent="0.3">
      <c r="A48" s="167"/>
      <c r="B48" s="174"/>
      <c r="C48" s="306"/>
      <c r="D48" s="304"/>
      <c r="E48" s="304"/>
      <c r="F48" s="304"/>
      <c r="G48" s="304"/>
      <c r="H48" s="304"/>
      <c r="I48" s="304"/>
      <c r="J48" s="166"/>
      <c r="K48" s="166"/>
      <c r="L48" s="166"/>
      <c r="M48" s="167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 spans="1:26" ht="12.75" customHeight="1" x14ac:dyDescent="0.3">
      <c r="A49" s="164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4"/>
    </row>
    <row r="50" spans="1:26" ht="12.75" customHeight="1" x14ac:dyDescent="0.3">
      <c r="A50" s="167"/>
      <c r="B50" s="166"/>
      <c r="C50" s="303" t="s">
        <v>405</v>
      </c>
      <c r="D50" s="304"/>
      <c r="E50" s="304"/>
      <c r="F50" s="304"/>
      <c r="G50" s="304"/>
      <c r="H50" s="304"/>
      <c r="I50" s="304"/>
      <c r="J50" s="304"/>
      <c r="K50" s="305"/>
      <c r="L50" s="166"/>
      <c r="M50" s="167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 spans="1:26" ht="12.75" customHeight="1" x14ac:dyDescent="0.3">
      <c r="A51" s="167"/>
      <c r="B51" s="166"/>
      <c r="C51" s="316" t="s">
        <v>406</v>
      </c>
      <c r="D51" s="304"/>
      <c r="E51" s="304"/>
      <c r="F51" s="304"/>
      <c r="G51" s="304"/>
      <c r="H51" s="304"/>
      <c r="I51" s="304"/>
      <c r="J51" s="304"/>
      <c r="K51" s="305"/>
      <c r="L51" s="166"/>
      <c r="M51" s="167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 spans="1:26" ht="12.75" customHeight="1" x14ac:dyDescent="0.3">
      <c r="A52" s="167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7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12.75" customHeight="1" x14ac:dyDescent="0.3">
      <c r="A53" s="167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7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 spans="1:26" ht="12.75" customHeight="1" x14ac:dyDescent="0.3">
      <c r="A54" s="167"/>
      <c r="B54" s="167"/>
      <c r="C54" s="168" t="s">
        <v>407</v>
      </c>
      <c r="D54" s="309" t="s">
        <v>470</v>
      </c>
      <c r="E54" s="310"/>
      <c r="F54" s="310"/>
      <c r="G54" s="310"/>
      <c r="H54" s="310"/>
      <c r="I54" s="310"/>
      <c r="J54" s="310"/>
      <c r="K54" s="310"/>
      <c r="L54" s="166"/>
      <c r="M54" s="167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</row>
    <row r="55" spans="1:26" ht="12.75" customHeight="1" x14ac:dyDescent="0.3">
      <c r="A55" s="169"/>
      <c r="B55" s="169"/>
      <c r="C55" s="170" t="s">
        <v>409</v>
      </c>
      <c r="D55" s="311" t="s">
        <v>410</v>
      </c>
      <c r="E55" s="312"/>
      <c r="F55" s="312"/>
      <c r="G55" s="313"/>
      <c r="H55" s="319"/>
      <c r="I55" s="315"/>
      <c r="J55" s="307"/>
      <c r="K55" s="308"/>
      <c r="L55" s="167"/>
      <c r="M55" s="167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 spans="1:26" ht="12.75" customHeight="1" x14ac:dyDescent="0.3">
      <c r="A56" s="167"/>
      <c r="B56" s="166"/>
      <c r="C56" s="171" t="s">
        <v>411</v>
      </c>
      <c r="D56" s="207">
        <v>1</v>
      </c>
      <c r="E56" s="317" t="s">
        <v>412</v>
      </c>
      <c r="F56" s="318"/>
      <c r="G56" s="172">
        <f>SUM(K59:K61)</f>
        <v>0.7621</v>
      </c>
      <c r="H56" s="314" t="s">
        <v>427</v>
      </c>
      <c r="I56" s="315"/>
      <c r="J56" s="261">
        <f>G56/D56</f>
        <v>0.7621</v>
      </c>
      <c r="K56" s="270"/>
      <c r="L56" s="166"/>
      <c r="M56" s="167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 spans="1:26" ht="12.75" customHeight="1" x14ac:dyDescent="0.3">
      <c r="A57" s="167"/>
      <c r="B57" s="174"/>
      <c r="C57" s="174"/>
      <c r="D57" s="174"/>
      <c r="E57" s="174"/>
      <c r="F57" s="174"/>
      <c r="G57" s="174"/>
      <c r="H57" s="174"/>
      <c r="I57" s="174"/>
      <c r="J57" s="166"/>
      <c r="K57" s="166"/>
      <c r="L57" s="166"/>
      <c r="M57" s="167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 spans="1:26" ht="12.75" customHeight="1" x14ac:dyDescent="0.3">
      <c r="A58" s="167"/>
      <c r="B58" s="175" t="s">
        <v>414</v>
      </c>
      <c r="C58" s="219" t="s">
        <v>415</v>
      </c>
      <c r="D58" s="219" t="s">
        <v>416</v>
      </c>
      <c r="E58" s="219" t="s">
        <v>417</v>
      </c>
      <c r="F58" s="219" t="s">
        <v>418</v>
      </c>
      <c r="G58" s="219" t="s">
        <v>419</v>
      </c>
      <c r="H58" s="219" t="s">
        <v>420</v>
      </c>
      <c r="I58" s="219" t="s">
        <v>421</v>
      </c>
      <c r="J58" s="219" t="s">
        <v>422</v>
      </c>
      <c r="K58" s="220" t="s">
        <v>423</v>
      </c>
      <c r="L58" s="166"/>
      <c r="M58" s="167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 spans="1:26" ht="12.75" customHeight="1" x14ac:dyDescent="0.3">
      <c r="A59" s="167"/>
      <c r="B59" s="178" t="s">
        <v>179</v>
      </c>
      <c r="C59" s="262">
        <v>1</v>
      </c>
      <c r="D59" s="263">
        <f>IF(ISNA(VLOOKUP(B59,'Listado de Artículos'!$B$16:$F$1328,5,0)),0,(VLOOKUP(B59,'Listado de Artículos'!$B$16:$F$1328,5,0)))</f>
        <v>0.5</v>
      </c>
      <c r="E59" s="262">
        <v>1</v>
      </c>
      <c r="F59" s="262">
        <v>1</v>
      </c>
      <c r="G59" s="264">
        <f>IF(E59&gt;0,(F59/E59),"")</f>
        <v>1</v>
      </c>
      <c r="H59" s="264">
        <f>IF(E59&gt;0,(100%-G59),"")</f>
        <v>0</v>
      </c>
      <c r="I59" s="265">
        <f>IF(C59&gt;0,(H59*C59/G59),"")</f>
        <v>0</v>
      </c>
      <c r="J59" s="265">
        <f>IF(C59&gt;0,(C59+I59),"")</f>
        <v>1</v>
      </c>
      <c r="K59" s="211">
        <f>IF(D59&gt;0,(D59*J59),"")</f>
        <v>0.5</v>
      </c>
      <c r="L59" s="166"/>
      <c r="M59" s="167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 spans="1:26" ht="12.75" customHeight="1" x14ac:dyDescent="0.3">
      <c r="A60" s="167"/>
      <c r="B60" s="177" t="s">
        <v>87</v>
      </c>
      <c r="C60" s="262">
        <v>2.5000000000000001E-2</v>
      </c>
      <c r="D60" s="263">
        <f>IF(ISNA(VLOOKUP(B60,'Listado de Artículos'!$B$16:$F$1328,5,0)),0,(VLOOKUP(B60,'Listado de Artículos'!$B$16:$F$1328,5,0)))</f>
        <v>0.82</v>
      </c>
      <c r="E60" s="262">
        <v>1</v>
      </c>
      <c r="F60" s="262">
        <v>1</v>
      </c>
      <c r="G60" s="264">
        <f>IF(E60&gt;0,(F60/E60),"")</f>
        <v>1</v>
      </c>
      <c r="H60" s="264">
        <f>IF(E60&gt;0,(100%-G60),"")</f>
        <v>0</v>
      </c>
      <c r="I60" s="265">
        <f>IF(C60&gt;0,(H60*C60/G60),"")</f>
        <v>0</v>
      </c>
      <c r="J60" s="265">
        <f>IF(C60&gt;0,(C60+I60),"")</f>
        <v>2.5000000000000001E-2</v>
      </c>
      <c r="K60" s="211">
        <f>IF(D60&gt;0,(D60*J60),"")</f>
        <v>2.0500000000000001E-2</v>
      </c>
      <c r="L60" s="166"/>
      <c r="M60" s="167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 spans="1:26" ht="12.75" customHeight="1" x14ac:dyDescent="0.3">
      <c r="A61" s="167"/>
      <c r="B61" s="177" t="s">
        <v>129</v>
      </c>
      <c r="C61" s="262">
        <v>0.01</v>
      </c>
      <c r="D61" s="263">
        <f>IF(ISNA(VLOOKUP(B61,'Listado de Artículos'!$B$16:$F$1328,5,0)),0,(VLOOKUP(B61,'Listado de Artículos'!$B$16:$F$1328,5,0)))</f>
        <v>24.16</v>
      </c>
      <c r="E61" s="262">
        <v>1</v>
      </c>
      <c r="F61" s="262">
        <v>1</v>
      </c>
      <c r="G61" s="264">
        <f>IF(E61&gt;0,(F61/E61),"")</f>
        <v>1</v>
      </c>
      <c r="H61" s="264">
        <f>IF(E61&gt;0,(100%-G61),"")</f>
        <v>0</v>
      </c>
      <c r="I61" s="265">
        <f>IF(C61&gt;0,(H61*C61/G61),"")</f>
        <v>0</v>
      </c>
      <c r="J61" s="265">
        <f>IF(C61&gt;0,(C61+I61),"")</f>
        <v>0.01</v>
      </c>
      <c r="K61" s="211">
        <f>IF(D61&gt;0,(D61*J61),"")</f>
        <v>0.24160000000000001</v>
      </c>
      <c r="L61" s="166"/>
      <c r="M61" s="167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 spans="1:26" ht="17.25" customHeight="1" x14ac:dyDescent="0.3">
      <c r="A62" s="167"/>
      <c r="B62" s="174"/>
      <c r="C62" s="306"/>
      <c r="D62" s="304"/>
      <c r="E62" s="304"/>
      <c r="F62" s="304"/>
      <c r="G62" s="304"/>
      <c r="H62" s="304"/>
      <c r="I62" s="304"/>
      <c r="J62" s="166"/>
      <c r="K62" s="166"/>
      <c r="L62" s="166"/>
      <c r="M62" s="167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 spans="1:26" ht="12.75" customHeight="1" x14ac:dyDescent="0.3">
      <c r="A63" s="164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4"/>
    </row>
    <row r="64" spans="1:26" ht="12.75" customHeight="1" x14ac:dyDescent="0.3">
      <c r="A64" s="167"/>
      <c r="B64" s="166"/>
      <c r="C64" s="303" t="s">
        <v>405</v>
      </c>
      <c r="D64" s="304"/>
      <c r="E64" s="304"/>
      <c r="F64" s="304"/>
      <c r="G64" s="304"/>
      <c r="H64" s="304"/>
      <c r="I64" s="304"/>
      <c r="J64" s="304"/>
      <c r="K64" s="305"/>
      <c r="L64" s="166"/>
      <c r="M64" s="167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 spans="1:26" ht="12.75" customHeight="1" x14ac:dyDescent="0.3">
      <c r="A65" s="167"/>
      <c r="B65" s="166"/>
      <c r="C65" s="316" t="s">
        <v>406</v>
      </c>
      <c r="D65" s="304"/>
      <c r="E65" s="304"/>
      <c r="F65" s="304"/>
      <c r="G65" s="304"/>
      <c r="H65" s="304"/>
      <c r="I65" s="304"/>
      <c r="J65" s="304"/>
      <c r="K65" s="305"/>
      <c r="L65" s="166"/>
      <c r="M65" s="167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 spans="1:26" ht="12.75" customHeight="1" x14ac:dyDescent="0.3">
      <c r="A66" s="167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7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 spans="1:26" ht="12.75" customHeight="1" x14ac:dyDescent="0.3">
      <c r="A67" s="167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7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 spans="1:26" ht="12.75" customHeight="1" x14ac:dyDescent="0.3">
      <c r="A68" s="167"/>
      <c r="B68" s="167"/>
      <c r="C68" s="168" t="s">
        <v>407</v>
      </c>
      <c r="D68" s="309" t="s">
        <v>463</v>
      </c>
      <c r="E68" s="310"/>
      <c r="F68" s="310"/>
      <c r="G68" s="310"/>
      <c r="H68" s="310"/>
      <c r="I68" s="310"/>
      <c r="J68" s="310"/>
      <c r="K68" s="310"/>
      <c r="L68" s="166"/>
      <c r="M68" s="167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</row>
    <row r="69" spans="1:26" ht="12.75" customHeight="1" x14ac:dyDescent="0.3">
      <c r="A69" s="169"/>
      <c r="B69" s="169"/>
      <c r="C69" s="170" t="s">
        <v>409</v>
      </c>
      <c r="D69" s="311" t="s">
        <v>410</v>
      </c>
      <c r="E69" s="312"/>
      <c r="F69" s="312"/>
      <c r="G69" s="313"/>
      <c r="H69" s="319"/>
      <c r="I69" s="315"/>
      <c r="J69" s="307"/>
      <c r="K69" s="308"/>
      <c r="L69" s="167"/>
      <c r="M69" s="167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 spans="1:26" ht="12.75" customHeight="1" x14ac:dyDescent="0.3">
      <c r="A70" s="167"/>
      <c r="B70" s="166"/>
      <c r="C70" s="171" t="s">
        <v>411</v>
      </c>
      <c r="D70" s="260">
        <v>1</v>
      </c>
      <c r="E70" s="317" t="s">
        <v>412</v>
      </c>
      <c r="F70" s="318"/>
      <c r="G70" s="172">
        <f>SUM(K73:K78)</f>
        <v>0.92835999999999996</v>
      </c>
      <c r="H70" s="314" t="s">
        <v>430</v>
      </c>
      <c r="I70" s="315"/>
      <c r="J70" s="261">
        <f>G70/D70</f>
        <v>0.92835999999999996</v>
      </c>
      <c r="K70" s="270"/>
      <c r="L70" s="166"/>
      <c r="M70" s="167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 spans="1:26" ht="12.75" customHeight="1" x14ac:dyDescent="0.3">
      <c r="A71" s="167"/>
      <c r="B71" s="174"/>
      <c r="C71" s="174"/>
      <c r="D71" s="174"/>
      <c r="E71" s="174"/>
      <c r="F71" s="174"/>
      <c r="G71" s="174"/>
      <c r="H71" s="174"/>
      <c r="I71" s="174"/>
      <c r="J71" s="166"/>
      <c r="K71" s="166"/>
      <c r="L71" s="166"/>
      <c r="M71" s="167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 spans="1:26" ht="12.75" customHeight="1" x14ac:dyDescent="0.3">
      <c r="A72" s="167"/>
      <c r="B72" s="175" t="s">
        <v>414</v>
      </c>
      <c r="C72" s="219" t="s">
        <v>415</v>
      </c>
      <c r="D72" s="219" t="s">
        <v>416</v>
      </c>
      <c r="E72" s="219" t="s">
        <v>417</v>
      </c>
      <c r="F72" s="219" t="s">
        <v>418</v>
      </c>
      <c r="G72" s="219" t="s">
        <v>419</v>
      </c>
      <c r="H72" s="219" t="s">
        <v>420</v>
      </c>
      <c r="I72" s="219" t="s">
        <v>421</v>
      </c>
      <c r="J72" s="219" t="s">
        <v>422</v>
      </c>
      <c r="K72" s="220" t="s">
        <v>423</v>
      </c>
      <c r="L72" s="166"/>
      <c r="M72" s="167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spans="1:26" ht="12.75" customHeight="1" x14ac:dyDescent="0.3">
      <c r="A73" s="167"/>
      <c r="B73" s="178" t="s">
        <v>253</v>
      </c>
      <c r="C73" s="262">
        <v>0.1</v>
      </c>
      <c r="D73" s="263">
        <f>IF(ISNA(VLOOKUP(B73,'Listado de Artículos'!$B$16:$F$1328,5,0)),0,(VLOOKUP(B73,'Listado de Artículos'!$B$16:$F$1328,5,0)))</f>
        <v>0.2</v>
      </c>
      <c r="E73" s="262">
        <v>1</v>
      </c>
      <c r="F73" s="262">
        <v>1</v>
      </c>
      <c r="G73" s="264">
        <f t="shared" ref="G73:G78" si="5">IF(E73&gt;0,(F73/E73),"")</f>
        <v>1</v>
      </c>
      <c r="H73" s="264">
        <f t="shared" ref="H73:H78" si="6">IF(E73&gt;0,(100%-G73),"")</f>
        <v>0</v>
      </c>
      <c r="I73" s="265">
        <f t="shared" ref="I73:I78" si="7">IF(C73&gt;0,(H73*C73/G73),"")</f>
        <v>0</v>
      </c>
      <c r="J73" s="265">
        <f t="shared" ref="J73:J78" si="8">IF(C73&gt;0,(C73+I73),"")</f>
        <v>0.1</v>
      </c>
      <c r="K73" s="211">
        <f t="shared" ref="K73:K78" si="9">IF(D73&gt;0,(D73*J73),"")</f>
        <v>2.0000000000000004E-2</v>
      </c>
      <c r="L73" s="166"/>
      <c r="M73" s="167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spans="1:26" ht="12.75" customHeight="1" x14ac:dyDescent="0.3">
      <c r="A74" s="167"/>
      <c r="B74" s="191" t="s">
        <v>105</v>
      </c>
      <c r="C74" s="262">
        <v>0.09</v>
      </c>
      <c r="D74" s="263">
        <f>IF(ISNA(VLOOKUP(B74,'Listado de Artículos'!$B$16:$F$1328,5,0)),0,(VLOOKUP(B74,'Listado de Artículos'!$B$16:$F$1328,5,0)))</f>
        <v>6.15</v>
      </c>
      <c r="E74" s="262">
        <v>1</v>
      </c>
      <c r="F74" s="262">
        <v>1</v>
      </c>
      <c r="G74" s="264">
        <f t="shared" si="5"/>
        <v>1</v>
      </c>
      <c r="H74" s="264">
        <f t="shared" si="6"/>
        <v>0</v>
      </c>
      <c r="I74" s="265">
        <f t="shared" si="7"/>
        <v>0</v>
      </c>
      <c r="J74" s="265">
        <f t="shared" si="8"/>
        <v>0.09</v>
      </c>
      <c r="K74" s="211">
        <f t="shared" si="9"/>
        <v>0.55349999999999999</v>
      </c>
      <c r="L74" s="166"/>
      <c r="M74" s="167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spans="1:26" ht="12.75" customHeight="1" x14ac:dyDescent="0.3">
      <c r="A75" s="167"/>
      <c r="B75" s="177" t="s">
        <v>284</v>
      </c>
      <c r="C75" s="262">
        <v>0.01</v>
      </c>
      <c r="D75" s="263">
        <f>IF(ISNA(VLOOKUP(B75,'Listado de Artículos'!$B$16:$F$1328,5,0)),0,(VLOOKUP(B75,'Listado de Artículos'!$B$16:$F$1328,5,0)))</f>
        <v>23.71</v>
      </c>
      <c r="E75" s="262">
        <v>1</v>
      </c>
      <c r="F75" s="262">
        <v>1</v>
      </c>
      <c r="G75" s="264">
        <f t="shared" si="5"/>
        <v>1</v>
      </c>
      <c r="H75" s="264">
        <f t="shared" si="6"/>
        <v>0</v>
      </c>
      <c r="I75" s="265">
        <f t="shared" si="7"/>
        <v>0</v>
      </c>
      <c r="J75" s="265">
        <f t="shared" si="8"/>
        <v>0.01</v>
      </c>
      <c r="K75" s="211">
        <f t="shared" si="9"/>
        <v>0.23710000000000001</v>
      </c>
      <c r="L75" s="166"/>
      <c r="M75" s="167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spans="1:26" ht="12.75" customHeight="1" x14ac:dyDescent="0.3">
      <c r="A76" s="167"/>
      <c r="B76" s="177" t="s">
        <v>316</v>
      </c>
      <c r="C76" s="262">
        <v>8.0000000000000002E-3</v>
      </c>
      <c r="D76" s="263">
        <f>IF(ISNA(VLOOKUP(B76,'Listado de Artículos'!$B$16:$F$1328,5,0)),0,(VLOOKUP(B76,'Listado de Artículos'!$B$16:$F$1328,5,0)))</f>
        <v>3.5</v>
      </c>
      <c r="E76" s="262">
        <v>1</v>
      </c>
      <c r="F76" s="262">
        <v>1</v>
      </c>
      <c r="G76" s="264">
        <f t="shared" si="5"/>
        <v>1</v>
      </c>
      <c r="H76" s="264">
        <f t="shared" si="6"/>
        <v>0</v>
      </c>
      <c r="I76" s="265">
        <f t="shared" si="7"/>
        <v>0</v>
      </c>
      <c r="J76" s="265">
        <f t="shared" si="8"/>
        <v>8.0000000000000002E-3</v>
      </c>
      <c r="K76" s="211">
        <f t="shared" si="9"/>
        <v>2.8000000000000001E-2</v>
      </c>
      <c r="L76" s="166"/>
      <c r="M76" s="167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spans="1:26" ht="12.75" customHeight="1" x14ac:dyDescent="0.3">
      <c r="A77" s="167"/>
      <c r="B77" s="177" t="s">
        <v>292</v>
      </c>
      <c r="C77" s="262">
        <v>2E-3</v>
      </c>
      <c r="D77" s="263">
        <f>IF(ISNA(VLOOKUP(B77,'Listado de Artículos'!$B$16:$F$1328,5,0)),0,(VLOOKUP(B77,'Listado de Artículos'!$B$16:$F$1328,5,0)))</f>
        <v>0.03</v>
      </c>
      <c r="E77" s="262">
        <v>1</v>
      </c>
      <c r="F77" s="262">
        <v>1</v>
      </c>
      <c r="G77" s="264">
        <f t="shared" si="5"/>
        <v>1</v>
      </c>
      <c r="H77" s="264">
        <f t="shared" si="6"/>
        <v>0</v>
      </c>
      <c r="I77" s="265">
        <f t="shared" si="7"/>
        <v>0</v>
      </c>
      <c r="J77" s="265">
        <f t="shared" si="8"/>
        <v>2E-3</v>
      </c>
      <c r="K77" s="211">
        <f t="shared" si="9"/>
        <v>6.0000000000000002E-5</v>
      </c>
      <c r="L77" s="166"/>
      <c r="M77" s="167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 spans="1:26" ht="12.75" customHeight="1" x14ac:dyDescent="0.3">
      <c r="A78" s="167"/>
      <c r="B78" s="177" t="s">
        <v>43</v>
      </c>
      <c r="C78" s="262">
        <v>0.01</v>
      </c>
      <c r="D78" s="263">
        <f>IF(ISNA(VLOOKUP(B78,'Listado de Artículos'!$B$16:$F$1328,5,0)),0,(VLOOKUP(B78,'Listado de Artículos'!$B$16:$F$1328,5,0)))</f>
        <v>8.9700000000000006</v>
      </c>
      <c r="E78" s="262">
        <v>1</v>
      </c>
      <c r="F78" s="262">
        <v>1</v>
      </c>
      <c r="G78" s="264">
        <f t="shared" si="5"/>
        <v>1</v>
      </c>
      <c r="H78" s="264">
        <f t="shared" si="6"/>
        <v>0</v>
      </c>
      <c r="I78" s="265">
        <f t="shared" si="7"/>
        <v>0</v>
      </c>
      <c r="J78" s="265">
        <f t="shared" si="8"/>
        <v>0.01</v>
      </c>
      <c r="K78" s="211">
        <f t="shared" si="9"/>
        <v>8.9700000000000002E-2</v>
      </c>
      <c r="L78" s="166"/>
      <c r="M78" s="167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 spans="1:26" ht="12.75" customHeight="1" x14ac:dyDescent="0.3">
      <c r="A79" s="164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4"/>
    </row>
    <row r="80" spans="1:26" ht="12.75" customHeight="1" x14ac:dyDescent="0.3">
      <c r="A80" s="167"/>
      <c r="B80" s="166"/>
      <c r="C80" s="303" t="s">
        <v>405</v>
      </c>
      <c r="D80" s="304"/>
      <c r="E80" s="304"/>
      <c r="F80" s="304"/>
      <c r="G80" s="304"/>
      <c r="H80" s="304"/>
      <c r="I80" s="304"/>
      <c r="J80" s="304"/>
      <c r="K80" s="305"/>
      <c r="L80" s="166"/>
      <c r="M80" s="167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 spans="1:26" ht="12.75" customHeight="1" x14ac:dyDescent="0.3">
      <c r="A81" s="167"/>
      <c r="B81" s="166"/>
      <c r="C81" s="316" t="s">
        <v>406</v>
      </c>
      <c r="D81" s="304"/>
      <c r="E81" s="304"/>
      <c r="F81" s="304"/>
      <c r="G81" s="304"/>
      <c r="H81" s="304"/>
      <c r="I81" s="304"/>
      <c r="J81" s="304"/>
      <c r="K81" s="305"/>
      <c r="L81" s="166"/>
      <c r="M81" s="167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 spans="1:26" ht="12.75" customHeight="1" x14ac:dyDescent="0.3">
      <c r="A82" s="167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7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 spans="1:26" ht="12.75" customHeight="1" x14ac:dyDescent="0.3">
      <c r="A83" s="167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7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 spans="1:26" ht="12.75" customHeight="1" x14ac:dyDescent="0.3">
      <c r="A84" s="167"/>
      <c r="B84" s="167"/>
      <c r="C84" s="168" t="s">
        <v>407</v>
      </c>
      <c r="D84" s="309" t="s">
        <v>463</v>
      </c>
      <c r="E84" s="310"/>
      <c r="F84" s="310"/>
      <c r="G84" s="310"/>
      <c r="H84" s="310"/>
      <c r="I84" s="310"/>
      <c r="J84" s="310"/>
      <c r="K84" s="310"/>
      <c r="L84" s="166"/>
      <c r="M84" s="167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</row>
    <row r="85" spans="1:26" ht="12.75" customHeight="1" x14ac:dyDescent="0.3">
      <c r="A85" s="169"/>
      <c r="B85" s="169"/>
      <c r="C85" s="170" t="s">
        <v>409</v>
      </c>
      <c r="D85" s="311" t="s">
        <v>410</v>
      </c>
      <c r="E85" s="312"/>
      <c r="F85" s="312"/>
      <c r="G85" s="313"/>
      <c r="H85" s="319"/>
      <c r="I85" s="315"/>
      <c r="J85" s="307"/>
      <c r="K85" s="308"/>
      <c r="L85" s="167"/>
      <c r="M85" s="167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 spans="1:26" ht="12.75" customHeight="1" x14ac:dyDescent="0.3">
      <c r="A86" s="167"/>
      <c r="B86" s="166"/>
      <c r="C86" s="171" t="s">
        <v>411</v>
      </c>
      <c r="D86" s="260">
        <v>1</v>
      </c>
      <c r="E86" s="317" t="s">
        <v>412</v>
      </c>
      <c r="F86" s="318"/>
      <c r="G86" s="172">
        <f>SUM(K89:K94)</f>
        <v>3.8033600000000001</v>
      </c>
      <c r="H86" s="314" t="s">
        <v>430</v>
      </c>
      <c r="I86" s="315"/>
      <c r="J86" s="261">
        <f>G86/D86</f>
        <v>3.8033600000000001</v>
      </c>
      <c r="K86" s="270"/>
      <c r="L86" s="166"/>
      <c r="M86" s="167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 spans="1:26" ht="12.75" customHeight="1" x14ac:dyDescent="0.3">
      <c r="A87" s="167"/>
      <c r="B87" s="174"/>
      <c r="C87" s="174"/>
      <c r="D87" s="174"/>
      <c r="E87" s="174"/>
      <c r="F87" s="174"/>
      <c r="G87" s="174"/>
      <c r="H87" s="174"/>
      <c r="I87" s="174"/>
      <c r="J87" s="166"/>
      <c r="K87" s="166"/>
      <c r="L87" s="166"/>
      <c r="M87" s="167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 spans="1:26" ht="12.75" customHeight="1" x14ac:dyDescent="0.3">
      <c r="A88" s="167"/>
      <c r="B88" s="175" t="s">
        <v>414</v>
      </c>
      <c r="C88" s="219" t="s">
        <v>415</v>
      </c>
      <c r="D88" s="219" t="s">
        <v>416</v>
      </c>
      <c r="E88" s="219" t="s">
        <v>417</v>
      </c>
      <c r="F88" s="219" t="s">
        <v>418</v>
      </c>
      <c r="G88" s="219" t="s">
        <v>419</v>
      </c>
      <c r="H88" s="219" t="s">
        <v>420</v>
      </c>
      <c r="I88" s="219" t="s">
        <v>421</v>
      </c>
      <c r="J88" s="219" t="s">
        <v>422</v>
      </c>
      <c r="K88" s="220" t="s">
        <v>423</v>
      </c>
      <c r="L88" s="166"/>
      <c r="M88" s="167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 spans="1:26" ht="12.75" customHeight="1" x14ac:dyDescent="0.3">
      <c r="A89" s="167"/>
      <c r="B89" s="178" t="s">
        <v>252</v>
      </c>
      <c r="C89" s="262">
        <v>0.1</v>
      </c>
      <c r="D89" s="263">
        <f>IF(ISNA(VLOOKUP(B89,'Listado de Artículos'!$B$16:$F$1328,5,0)),0,(VLOOKUP(B89,'Listado de Artículos'!$B$16:$F$1328,5,0)))</f>
        <v>28.95</v>
      </c>
      <c r="E89" s="262">
        <v>1</v>
      </c>
      <c r="F89" s="262">
        <v>1</v>
      </c>
      <c r="G89" s="264">
        <f t="shared" ref="G89:G94" si="10">IF(E89&gt;0,(F89/E89),"")</f>
        <v>1</v>
      </c>
      <c r="H89" s="264">
        <f t="shared" ref="H89:H94" si="11">IF(E89&gt;0,(100%-G89),"")</f>
        <v>0</v>
      </c>
      <c r="I89" s="265">
        <f t="shared" ref="I89:I94" si="12">IF(C89&gt;0,(H89*C89/G89),"")</f>
        <v>0</v>
      </c>
      <c r="J89" s="265">
        <f t="shared" ref="J89:J94" si="13">IF(C89&gt;0,(C89+I89),"")</f>
        <v>0.1</v>
      </c>
      <c r="K89" s="211">
        <f t="shared" ref="K89:K94" si="14">IF(D89&gt;0,(D89*J89),"")</f>
        <v>2.895</v>
      </c>
      <c r="L89" s="166"/>
      <c r="M89" s="167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 spans="1:26" ht="29.25" customHeight="1" x14ac:dyDescent="0.3">
      <c r="A90" s="167"/>
      <c r="B90" s="191" t="s">
        <v>105</v>
      </c>
      <c r="C90" s="262">
        <v>0.09</v>
      </c>
      <c r="D90" s="263">
        <f>IF(ISNA(VLOOKUP(B90,'Listado de Artículos'!$B$16:$F$1328,5,0)),0,(VLOOKUP(B90,'Listado de Artículos'!$B$16:$F$1328,5,0)))</f>
        <v>6.15</v>
      </c>
      <c r="E90" s="262">
        <v>1</v>
      </c>
      <c r="F90" s="262">
        <v>1</v>
      </c>
      <c r="G90" s="264">
        <f t="shared" si="10"/>
        <v>1</v>
      </c>
      <c r="H90" s="264">
        <f t="shared" si="11"/>
        <v>0</v>
      </c>
      <c r="I90" s="265">
        <f t="shared" si="12"/>
        <v>0</v>
      </c>
      <c r="J90" s="265">
        <f t="shared" si="13"/>
        <v>0.09</v>
      </c>
      <c r="K90" s="211">
        <f t="shared" si="14"/>
        <v>0.55349999999999999</v>
      </c>
      <c r="L90" s="166"/>
      <c r="M90" s="167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 spans="1:26" ht="12.75" customHeight="1" x14ac:dyDescent="0.3">
      <c r="A91" s="167"/>
      <c r="B91" s="177" t="s">
        <v>284</v>
      </c>
      <c r="C91" s="262">
        <v>0.01</v>
      </c>
      <c r="D91" s="263">
        <f>IF(ISNA(VLOOKUP(B91,'Listado de Artículos'!$B$16:$F$1328,5,0)),0,(VLOOKUP(B91,'Listado de Artículos'!$B$16:$F$1328,5,0)))</f>
        <v>23.71</v>
      </c>
      <c r="E91" s="262">
        <v>1</v>
      </c>
      <c r="F91" s="262">
        <v>1</v>
      </c>
      <c r="G91" s="264">
        <f t="shared" si="10"/>
        <v>1</v>
      </c>
      <c r="H91" s="264">
        <f t="shared" si="11"/>
        <v>0</v>
      </c>
      <c r="I91" s="265">
        <f t="shared" si="12"/>
        <v>0</v>
      </c>
      <c r="J91" s="265">
        <f t="shared" si="13"/>
        <v>0.01</v>
      </c>
      <c r="K91" s="211">
        <f t="shared" si="14"/>
        <v>0.23710000000000001</v>
      </c>
      <c r="L91" s="166"/>
      <c r="M91" s="167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 spans="1:26" ht="12.75" customHeight="1" x14ac:dyDescent="0.3">
      <c r="A92" s="167"/>
      <c r="B92" s="177" t="s">
        <v>316</v>
      </c>
      <c r="C92" s="262">
        <v>8.0000000000000002E-3</v>
      </c>
      <c r="D92" s="263">
        <f>IF(ISNA(VLOOKUP(B92,'Listado de Artículos'!$B$16:$F$1328,5,0)),0,(VLOOKUP(B92,'Listado de Artículos'!$B$16:$F$1328,5,0)))</f>
        <v>3.5</v>
      </c>
      <c r="E92" s="262">
        <v>1</v>
      </c>
      <c r="F92" s="262">
        <v>1</v>
      </c>
      <c r="G92" s="264">
        <f t="shared" si="10"/>
        <v>1</v>
      </c>
      <c r="H92" s="264">
        <f t="shared" si="11"/>
        <v>0</v>
      </c>
      <c r="I92" s="265">
        <f t="shared" si="12"/>
        <v>0</v>
      </c>
      <c r="J92" s="265">
        <f t="shared" si="13"/>
        <v>8.0000000000000002E-3</v>
      </c>
      <c r="K92" s="211">
        <f t="shared" si="14"/>
        <v>2.8000000000000001E-2</v>
      </c>
      <c r="L92" s="166"/>
      <c r="M92" s="167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 spans="1:26" ht="12.75" customHeight="1" x14ac:dyDescent="0.3">
      <c r="A93" s="167"/>
      <c r="B93" s="177" t="s">
        <v>292</v>
      </c>
      <c r="C93" s="262">
        <v>2E-3</v>
      </c>
      <c r="D93" s="263">
        <f>IF(ISNA(VLOOKUP(B93,'Listado de Artículos'!$B$16:$F$1328,5,0)),0,(VLOOKUP(B93,'Listado de Artículos'!$B$16:$F$1328,5,0)))</f>
        <v>0.03</v>
      </c>
      <c r="E93" s="262">
        <v>1</v>
      </c>
      <c r="F93" s="262">
        <v>1</v>
      </c>
      <c r="G93" s="264">
        <f t="shared" si="10"/>
        <v>1</v>
      </c>
      <c r="H93" s="264">
        <f t="shared" si="11"/>
        <v>0</v>
      </c>
      <c r="I93" s="265">
        <f t="shared" si="12"/>
        <v>0</v>
      </c>
      <c r="J93" s="265">
        <f t="shared" si="13"/>
        <v>2E-3</v>
      </c>
      <c r="K93" s="211">
        <f t="shared" si="14"/>
        <v>6.0000000000000002E-5</v>
      </c>
      <c r="L93" s="166"/>
      <c r="M93" s="167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 spans="1:26" ht="12.75" customHeight="1" x14ac:dyDescent="0.3">
      <c r="A94" s="167"/>
      <c r="B94" s="177" t="s">
        <v>43</v>
      </c>
      <c r="C94" s="262">
        <v>0.01</v>
      </c>
      <c r="D94" s="263">
        <f>IF(ISNA(VLOOKUP(B94,'Listado de Artículos'!$B$16:$F$1328,5,0)),0,(VLOOKUP(B94,'Listado de Artículos'!$B$16:$F$1328,5,0)))</f>
        <v>8.9700000000000006</v>
      </c>
      <c r="E94" s="262">
        <v>1</v>
      </c>
      <c r="F94" s="262">
        <v>1</v>
      </c>
      <c r="G94" s="264">
        <f t="shared" si="10"/>
        <v>1</v>
      </c>
      <c r="H94" s="264">
        <f t="shared" si="11"/>
        <v>0</v>
      </c>
      <c r="I94" s="265">
        <f t="shared" si="12"/>
        <v>0</v>
      </c>
      <c r="J94" s="265">
        <f t="shared" si="13"/>
        <v>0.01</v>
      </c>
      <c r="K94" s="211">
        <f t="shared" si="14"/>
        <v>8.9700000000000002E-2</v>
      </c>
      <c r="L94" s="166"/>
      <c r="M94" s="167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 spans="1:26" ht="12.75" customHeight="1" x14ac:dyDescent="0.3">
      <c r="A95" s="164"/>
      <c r="B95" s="165"/>
      <c r="C95" s="165"/>
      <c r="D95" s="165"/>
      <c r="E95" s="165"/>
      <c r="F95" s="165"/>
      <c r="G95" s="165"/>
      <c r="H95" s="165"/>
      <c r="I95" s="165"/>
      <c r="J95" s="165"/>
      <c r="K95" s="165"/>
      <c r="L95" s="164"/>
    </row>
    <row r="96" spans="1:26" ht="12.75" customHeight="1" x14ac:dyDescent="0.3">
      <c r="A96" s="167"/>
      <c r="B96" s="166"/>
      <c r="C96" s="303" t="s">
        <v>405</v>
      </c>
      <c r="D96" s="304"/>
      <c r="E96" s="304"/>
      <c r="F96" s="304"/>
      <c r="G96" s="304"/>
      <c r="H96" s="304"/>
      <c r="I96" s="304"/>
      <c r="J96" s="304"/>
      <c r="K96" s="305"/>
      <c r="L96" s="166"/>
      <c r="M96" s="167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 spans="1:26" ht="12.75" customHeight="1" x14ac:dyDescent="0.3">
      <c r="A97" s="167"/>
      <c r="B97" s="166"/>
      <c r="C97" s="316" t="s">
        <v>406</v>
      </c>
      <c r="D97" s="304"/>
      <c r="E97" s="304"/>
      <c r="F97" s="304"/>
      <c r="G97" s="304"/>
      <c r="H97" s="304"/>
      <c r="I97" s="304"/>
      <c r="J97" s="304"/>
      <c r="K97" s="305"/>
      <c r="L97" s="166"/>
      <c r="M97" s="167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 spans="1:26" ht="12.75" customHeight="1" x14ac:dyDescent="0.3">
      <c r="A98" s="167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7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 spans="1:26" ht="12.75" customHeight="1" x14ac:dyDescent="0.3">
      <c r="A99" s="167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7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</row>
    <row r="100" spans="1:26" ht="12.75" customHeight="1" x14ac:dyDescent="0.3">
      <c r="A100" s="167"/>
      <c r="B100" s="167"/>
      <c r="C100" s="168" t="s">
        <v>407</v>
      </c>
      <c r="D100" s="309" t="s">
        <v>431</v>
      </c>
      <c r="E100" s="310"/>
      <c r="F100" s="310"/>
      <c r="G100" s="310"/>
      <c r="H100" s="310"/>
      <c r="I100" s="310"/>
      <c r="J100" s="310"/>
      <c r="K100" s="310"/>
      <c r="L100" s="166"/>
      <c r="M100" s="167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</row>
    <row r="101" spans="1:26" ht="12.75" customHeight="1" x14ac:dyDescent="0.3">
      <c r="A101" s="169"/>
      <c r="B101" s="169"/>
      <c r="C101" s="170" t="s">
        <v>409</v>
      </c>
      <c r="D101" s="311" t="s">
        <v>410</v>
      </c>
      <c r="E101" s="312"/>
      <c r="F101" s="312"/>
      <c r="G101" s="313"/>
      <c r="H101" s="319"/>
      <c r="I101" s="315"/>
      <c r="J101" s="307"/>
      <c r="K101" s="308"/>
      <c r="L101" s="167"/>
      <c r="M101" s="167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 spans="1:26" ht="12.75" customHeight="1" x14ac:dyDescent="0.3">
      <c r="A102" s="167"/>
      <c r="B102" s="166"/>
      <c r="C102" s="171" t="s">
        <v>411</v>
      </c>
      <c r="D102" s="260">
        <v>1</v>
      </c>
      <c r="E102" s="317" t="s">
        <v>412</v>
      </c>
      <c r="F102" s="318"/>
      <c r="G102" s="172">
        <f>SUM(K105:K109)</f>
        <v>2.8770600000000002</v>
      </c>
      <c r="H102" s="314" t="s">
        <v>432</v>
      </c>
      <c r="I102" s="315"/>
      <c r="J102" s="261">
        <f>G102/D102</f>
        <v>2.8770600000000002</v>
      </c>
      <c r="K102" s="270"/>
      <c r="L102" s="166"/>
      <c r="M102" s="167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 spans="1:26" ht="12.75" customHeight="1" x14ac:dyDescent="0.3">
      <c r="A103" s="167"/>
      <c r="B103" s="174"/>
      <c r="C103" s="174"/>
      <c r="D103" s="174"/>
      <c r="E103" s="174"/>
      <c r="F103" s="174"/>
      <c r="G103" s="174"/>
      <c r="H103" s="174"/>
      <c r="I103" s="174"/>
      <c r="J103" s="166"/>
      <c r="K103" s="166"/>
      <c r="L103" s="166"/>
      <c r="M103" s="167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 spans="1:26" ht="12.75" customHeight="1" x14ac:dyDescent="0.3">
      <c r="A104" s="167"/>
      <c r="B104" s="175" t="s">
        <v>414</v>
      </c>
      <c r="C104" s="219" t="s">
        <v>415</v>
      </c>
      <c r="D104" s="219" t="s">
        <v>416</v>
      </c>
      <c r="E104" s="219" t="s">
        <v>417</v>
      </c>
      <c r="F104" s="219" t="s">
        <v>418</v>
      </c>
      <c r="G104" s="219" t="s">
        <v>419</v>
      </c>
      <c r="H104" s="219" t="s">
        <v>420</v>
      </c>
      <c r="I104" s="219" t="s">
        <v>421</v>
      </c>
      <c r="J104" s="219" t="s">
        <v>422</v>
      </c>
      <c r="K104" s="220" t="s">
        <v>423</v>
      </c>
      <c r="L104" s="166"/>
      <c r="M104" s="167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 spans="1:26" ht="12.75" customHeight="1" x14ac:dyDescent="0.3">
      <c r="A105" s="167"/>
      <c r="B105" s="192" t="s">
        <v>280</v>
      </c>
      <c r="C105" s="262">
        <v>0.24</v>
      </c>
      <c r="D105" s="263">
        <f>IF(ISNA(VLOOKUP(B105,'Listado de Artículos'!$B$16:$F$1328,5,0)),0,(VLOOKUP(B105,'Listado de Artículos'!$B$16:$F$1328,5,0)))</f>
        <v>2</v>
      </c>
      <c r="E105" s="262">
        <v>1</v>
      </c>
      <c r="F105" s="262">
        <v>1</v>
      </c>
      <c r="G105" s="264">
        <f>IF(E105&gt;0,(F105/E105),"")</f>
        <v>1</v>
      </c>
      <c r="H105" s="264">
        <f>IF(E105&gt;0,(100%-G105),"")</f>
        <v>0</v>
      </c>
      <c r="I105" s="265">
        <f>IF(C105&gt;0,(H105*C105/G105),"")</f>
        <v>0</v>
      </c>
      <c r="J105" s="265">
        <f>IF(C105&gt;0,(C105+I105),"")</f>
        <v>0.24</v>
      </c>
      <c r="K105" s="211">
        <f>IF(D105&gt;0,(D105*J105),"")</f>
        <v>0.48</v>
      </c>
      <c r="L105" s="166"/>
      <c r="M105" s="167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 spans="1:26" ht="12.75" customHeight="1" x14ac:dyDescent="0.3">
      <c r="A106" s="167"/>
      <c r="B106" s="177" t="s">
        <v>63</v>
      </c>
      <c r="C106" s="262">
        <v>0.18</v>
      </c>
      <c r="D106" s="263">
        <f>IF(ISNA(VLOOKUP(B106,'Listado de Artículos'!$B$16:$F$1328,5,0)),0,(VLOOKUP(B106,'Listado de Artículos'!$B$16:$F$1328,5,0)))</f>
        <v>12.5</v>
      </c>
      <c r="E106" s="262">
        <v>1</v>
      </c>
      <c r="F106" s="262">
        <v>1</v>
      </c>
      <c r="G106" s="264">
        <f>IF(E106&gt;0,(F106/E106),"")</f>
        <v>1</v>
      </c>
      <c r="H106" s="264">
        <f>IF(E106&gt;0,(100%-G106),"")</f>
        <v>0</v>
      </c>
      <c r="I106" s="265">
        <f>IF(C106&gt;0,(H106*C106/G106),"")</f>
        <v>0</v>
      </c>
      <c r="J106" s="265">
        <f>IF(C106&gt;0,(C106+I106),"")</f>
        <v>0.18</v>
      </c>
      <c r="K106" s="211">
        <f>IF(D106&gt;0,(D106*J106),"")</f>
        <v>2.25</v>
      </c>
      <c r="L106" s="166"/>
      <c r="M106" s="167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 spans="1:26" ht="12.75" customHeight="1" x14ac:dyDescent="0.3">
      <c r="A107" s="167"/>
      <c r="B107" s="177" t="s">
        <v>41</v>
      </c>
      <c r="C107" s="262">
        <v>0.02</v>
      </c>
      <c r="D107" s="263">
        <f>IF(ISNA(VLOOKUP(B107,'Listado de Artículos'!$B$16:$F$1328,5,0)),0,(VLOOKUP(B107,'Listado de Artículos'!$B$16:$F$1328,5,0)))</f>
        <v>5.95</v>
      </c>
      <c r="E107" s="262">
        <v>1</v>
      </c>
      <c r="F107" s="262">
        <v>1</v>
      </c>
      <c r="G107" s="264">
        <f>IF(E107&gt;0,(F107/E107),"")</f>
        <v>1</v>
      </c>
      <c r="H107" s="264">
        <f>IF(E107&gt;0,(100%-G107),"")</f>
        <v>0</v>
      </c>
      <c r="I107" s="265">
        <f>IF(C107&gt;0,(H107*C107/G107),"")</f>
        <v>0</v>
      </c>
      <c r="J107" s="265">
        <f>IF(C107&gt;0,(C107+I107),"")</f>
        <v>0.02</v>
      </c>
      <c r="K107" s="211">
        <f>IF(D107&gt;0,(D107*J107),"")</f>
        <v>0.11900000000000001</v>
      </c>
      <c r="L107" s="166"/>
      <c r="M107" s="167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 spans="1:26" ht="12.75" customHeight="1" x14ac:dyDescent="0.3">
      <c r="A108" s="167"/>
      <c r="B108" s="177" t="s">
        <v>316</v>
      </c>
      <c r="C108" s="262">
        <v>8.0000000000000002E-3</v>
      </c>
      <c r="D108" s="263">
        <f>IF(ISNA(VLOOKUP(B108,'Listado de Artículos'!$B$16:$F$1328,5,0)),0,(VLOOKUP(B108,'Listado de Artículos'!$B$16:$F$1328,5,0)))</f>
        <v>3.5</v>
      </c>
      <c r="E108" s="262">
        <v>1</v>
      </c>
      <c r="F108" s="262">
        <v>1</v>
      </c>
      <c r="G108" s="264">
        <f>IF(E108&gt;0,(F108/E108),"")</f>
        <v>1</v>
      </c>
      <c r="H108" s="264">
        <f>IF(E108&gt;0,(100%-G108),"")</f>
        <v>0</v>
      </c>
      <c r="I108" s="265">
        <f>IF(C108&gt;0,(H108*C108/G108),"")</f>
        <v>0</v>
      </c>
      <c r="J108" s="265">
        <f>IF(C108&gt;0,(C108+I108),"")</f>
        <v>8.0000000000000002E-3</v>
      </c>
      <c r="K108" s="211">
        <f>IF(D108&gt;0,(D108*J108),"")</f>
        <v>2.8000000000000001E-2</v>
      </c>
      <c r="L108" s="166"/>
      <c r="M108" s="167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 spans="1:26" ht="12.75" customHeight="1" x14ac:dyDescent="0.3">
      <c r="A109" s="167"/>
      <c r="B109" s="177" t="s">
        <v>292</v>
      </c>
      <c r="C109" s="262">
        <v>2E-3</v>
      </c>
      <c r="D109" s="263">
        <f>IF(ISNA(VLOOKUP(B109,'Listado de Artículos'!$B$16:$F$1328,5,0)),0,(VLOOKUP(B109,'Listado de Artículos'!$B$16:$F$1328,5,0)))</f>
        <v>0.03</v>
      </c>
      <c r="E109" s="262">
        <v>1</v>
      </c>
      <c r="F109" s="262">
        <v>1</v>
      </c>
      <c r="G109" s="264">
        <f>IF(E109&gt;0,(F109/E109),"")</f>
        <v>1</v>
      </c>
      <c r="H109" s="264">
        <f>IF(E109&gt;0,(100%-G109),"")</f>
        <v>0</v>
      </c>
      <c r="I109" s="265">
        <f>IF(C109&gt;0,(H109*C109/G109),"")</f>
        <v>0</v>
      </c>
      <c r="J109" s="265">
        <f>IF(C109&gt;0,(C109+I109),"")</f>
        <v>2E-3</v>
      </c>
      <c r="K109" s="211">
        <f>IF(D109&gt;0,(D109*J109),"")</f>
        <v>6.0000000000000002E-5</v>
      </c>
      <c r="L109" s="166"/>
      <c r="M109" s="167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 spans="1:26" ht="12.75" customHeight="1" x14ac:dyDescent="0.3">
      <c r="A110" s="164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4"/>
    </row>
    <row r="111" spans="1:26" ht="12.75" customHeight="1" x14ac:dyDescent="0.3">
      <c r="A111" s="167"/>
      <c r="B111" s="166"/>
      <c r="C111" s="303" t="s">
        <v>405</v>
      </c>
      <c r="D111" s="304"/>
      <c r="E111" s="304"/>
      <c r="F111" s="304"/>
      <c r="G111" s="304"/>
      <c r="H111" s="304"/>
      <c r="I111" s="304"/>
      <c r="J111" s="304"/>
      <c r="K111" s="305"/>
      <c r="L111" s="166"/>
      <c r="M111" s="167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 spans="1:26" ht="12.75" customHeight="1" x14ac:dyDescent="0.3">
      <c r="A112" s="167"/>
      <c r="B112" s="166"/>
      <c r="C112" s="316" t="s">
        <v>406</v>
      </c>
      <c r="D112" s="304"/>
      <c r="E112" s="304"/>
      <c r="F112" s="304"/>
      <c r="G112" s="304"/>
      <c r="H112" s="304"/>
      <c r="I112" s="304"/>
      <c r="J112" s="304"/>
      <c r="K112" s="305"/>
      <c r="L112" s="166"/>
      <c r="M112" s="167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 spans="1:26" ht="12.75" customHeight="1" x14ac:dyDescent="0.3">
      <c r="A113" s="167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7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 spans="1:26" ht="12.75" customHeight="1" x14ac:dyDescent="0.3">
      <c r="A114" s="167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7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 spans="1:26" ht="12.75" customHeight="1" x14ac:dyDescent="0.3">
      <c r="A115" s="167"/>
      <c r="B115" s="167"/>
      <c r="C115" s="168" t="s">
        <v>407</v>
      </c>
      <c r="D115" s="309" t="s">
        <v>433</v>
      </c>
      <c r="E115" s="310"/>
      <c r="F115" s="310"/>
      <c r="G115" s="310"/>
      <c r="H115" s="310"/>
      <c r="I115" s="310"/>
      <c r="J115" s="310"/>
      <c r="K115" s="310"/>
      <c r="L115" s="166"/>
      <c r="M115" s="167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</row>
    <row r="116" spans="1:26" ht="12.75" customHeight="1" x14ac:dyDescent="0.3">
      <c r="A116" s="169"/>
      <c r="B116" s="169"/>
      <c r="C116" s="170" t="s">
        <v>409</v>
      </c>
      <c r="D116" s="311" t="s">
        <v>410</v>
      </c>
      <c r="E116" s="312"/>
      <c r="F116" s="312"/>
      <c r="G116" s="313"/>
      <c r="H116" s="319"/>
      <c r="I116" s="315"/>
      <c r="J116" s="307"/>
      <c r="K116" s="308"/>
      <c r="L116" s="167"/>
      <c r="M116" s="167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</row>
    <row r="117" spans="1:26" ht="12.75" customHeight="1" x14ac:dyDescent="0.3">
      <c r="A117" s="167"/>
      <c r="B117" s="166"/>
      <c r="C117" s="171" t="s">
        <v>411</v>
      </c>
      <c r="D117" s="260">
        <v>1</v>
      </c>
      <c r="E117" s="317" t="s">
        <v>412</v>
      </c>
      <c r="F117" s="318"/>
      <c r="G117" s="172">
        <f>SUM(K120:K126)</f>
        <v>2.8824000000000005</v>
      </c>
      <c r="H117" s="314" t="s">
        <v>432</v>
      </c>
      <c r="I117" s="315"/>
      <c r="J117" s="261">
        <f>G117/D117</f>
        <v>2.8824000000000005</v>
      </c>
      <c r="K117" s="270"/>
      <c r="L117" s="166"/>
      <c r="M117" s="167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</row>
    <row r="118" spans="1:26" ht="12.75" customHeight="1" x14ac:dyDescent="0.3">
      <c r="A118" s="167"/>
      <c r="B118" s="174"/>
      <c r="C118" s="174"/>
      <c r="D118" s="174"/>
      <c r="E118" s="174"/>
      <c r="F118" s="174"/>
      <c r="G118" s="174"/>
      <c r="H118" s="174"/>
      <c r="I118" s="174"/>
      <c r="J118" s="166"/>
      <c r="K118" s="166"/>
      <c r="L118" s="166"/>
      <c r="M118" s="167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 spans="1:26" ht="12.75" customHeight="1" x14ac:dyDescent="0.3">
      <c r="A119" s="167"/>
      <c r="B119" s="175" t="s">
        <v>414</v>
      </c>
      <c r="C119" s="219" t="s">
        <v>415</v>
      </c>
      <c r="D119" s="219" t="s">
        <v>416</v>
      </c>
      <c r="E119" s="219" t="s">
        <v>417</v>
      </c>
      <c r="F119" s="219" t="s">
        <v>418</v>
      </c>
      <c r="G119" s="219" t="s">
        <v>419</v>
      </c>
      <c r="H119" s="219" t="s">
        <v>420</v>
      </c>
      <c r="I119" s="219" t="s">
        <v>421</v>
      </c>
      <c r="J119" s="219" t="s">
        <v>422</v>
      </c>
      <c r="K119" s="220" t="s">
        <v>423</v>
      </c>
      <c r="L119" s="166"/>
      <c r="M119" s="167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 spans="1:26" ht="12.75" customHeight="1" x14ac:dyDescent="0.3">
      <c r="A120" s="167"/>
      <c r="B120" s="192" t="s">
        <v>106</v>
      </c>
      <c r="C120" s="262">
        <v>7.0000000000000007E-2</v>
      </c>
      <c r="D120" s="263">
        <f>IF(ISNA(VLOOKUP(B120,'Listado de Artículos'!$B$16:$F$1328,5,0)),0,(VLOOKUP(B120,'Listado de Artículos'!$B$16:$F$1328,5,0)))</f>
        <v>7.6</v>
      </c>
      <c r="E120" s="262">
        <v>1</v>
      </c>
      <c r="F120" s="262">
        <v>1</v>
      </c>
      <c r="G120" s="264">
        <f t="shared" ref="G120:G126" si="15">IF(E120&gt;0,(F120/E120),"")</f>
        <v>1</v>
      </c>
      <c r="H120" s="264">
        <f t="shared" ref="H120:H126" si="16">IF(E120&gt;0,(100%-G120),"")</f>
        <v>0</v>
      </c>
      <c r="I120" s="265">
        <f t="shared" ref="I120:I126" si="17">IF(C120&gt;0,(H120*C120/G120),"")</f>
        <v>0</v>
      </c>
      <c r="J120" s="265">
        <f t="shared" ref="J120:J126" si="18">IF(C120&gt;0,(C120+I120),"")</f>
        <v>7.0000000000000007E-2</v>
      </c>
      <c r="K120" s="211">
        <f t="shared" ref="K120:K126" si="19">IF(D120&gt;0,(D120*J120),"")</f>
        <v>0.53200000000000003</v>
      </c>
      <c r="L120" s="166"/>
      <c r="M120" s="167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 spans="1:26" ht="12.75" customHeight="1" x14ac:dyDescent="0.3">
      <c r="A121" s="167"/>
      <c r="B121" s="177" t="s">
        <v>148</v>
      </c>
      <c r="C121" s="262">
        <v>7.4999999999999997E-2</v>
      </c>
      <c r="D121" s="263">
        <f>IF(ISNA(VLOOKUP(B121,'Listado de Artículos'!$B$16:$F$1328,5,0)),0,(VLOOKUP(B121,'Listado de Artículos'!$B$16:$F$1328,5,0)))</f>
        <v>12.5</v>
      </c>
      <c r="E121" s="262">
        <v>1</v>
      </c>
      <c r="F121" s="262">
        <v>1</v>
      </c>
      <c r="G121" s="264">
        <f t="shared" si="15"/>
        <v>1</v>
      </c>
      <c r="H121" s="264">
        <f t="shared" si="16"/>
        <v>0</v>
      </c>
      <c r="I121" s="265">
        <f t="shared" si="17"/>
        <v>0</v>
      </c>
      <c r="J121" s="265">
        <f t="shared" si="18"/>
        <v>7.4999999999999997E-2</v>
      </c>
      <c r="K121" s="211">
        <f t="shared" si="19"/>
        <v>0.9375</v>
      </c>
      <c r="L121" s="193" t="s">
        <v>434</v>
      </c>
      <c r="M121" s="167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 spans="1:26" ht="12.75" customHeight="1" x14ac:dyDescent="0.3">
      <c r="A122" s="167"/>
      <c r="B122" s="177" t="s">
        <v>160</v>
      </c>
      <c r="C122" s="262">
        <v>7.4999999999999997E-2</v>
      </c>
      <c r="D122" s="263">
        <f>IF(ISNA(VLOOKUP(B122,'Listado de Artículos'!$B$16:$F$1328,5,0)),0,(VLOOKUP(B122,'Listado de Artículos'!$B$16:$F$1328,5,0)))</f>
        <v>16.398</v>
      </c>
      <c r="E122" s="262">
        <v>1</v>
      </c>
      <c r="F122" s="262">
        <v>1</v>
      </c>
      <c r="G122" s="264">
        <f t="shared" si="15"/>
        <v>1</v>
      </c>
      <c r="H122" s="264">
        <f t="shared" si="16"/>
        <v>0</v>
      </c>
      <c r="I122" s="265">
        <f t="shared" si="17"/>
        <v>0</v>
      </c>
      <c r="J122" s="265">
        <f t="shared" si="18"/>
        <v>7.4999999999999997E-2</v>
      </c>
      <c r="K122" s="211">
        <f t="shared" si="19"/>
        <v>1.2298499999999999</v>
      </c>
      <c r="L122" s="193" t="s">
        <v>435</v>
      </c>
      <c r="M122" s="167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 spans="1:26" ht="12.75" customHeight="1" x14ac:dyDescent="0.3">
      <c r="A123" s="167"/>
      <c r="B123" s="177" t="s">
        <v>316</v>
      </c>
      <c r="C123" s="262">
        <v>0.01</v>
      </c>
      <c r="D123" s="263">
        <f>IF(ISNA(VLOOKUP(B123,'Listado de Artículos'!$B$16:$F$1328,5,0)),0,(VLOOKUP(B123,'Listado de Artículos'!$B$16:$F$1328,5,0)))</f>
        <v>3.5</v>
      </c>
      <c r="E123" s="262">
        <v>1</v>
      </c>
      <c r="F123" s="262">
        <v>1</v>
      </c>
      <c r="G123" s="264">
        <f t="shared" si="15"/>
        <v>1</v>
      </c>
      <c r="H123" s="264">
        <f t="shared" si="16"/>
        <v>0</v>
      </c>
      <c r="I123" s="265">
        <f t="shared" si="17"/>
        <v>0</v>
      </c>
      <c r="J123" s="265">
        <f t="shared" si="18"/>
        <v>0.01</v>
      </c>
      <c r="K123" s="211">
        <f t="shared" si="19"/>
        <v>3.5000000000000003E-2</v>
      </c>
      <c r="L123" s="166"/>
      <c r="M123" s="167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 spans="1:26" ht="12.75" customHeight="1" x14ac:dyDescent="0.3">
      <c r="A124" s="167"/>
      <c r="B124" s="177" t="s">
        <v>292</v>
      </c>
      <c r="C124" s="262">
        <v>5.0000000000000001E-3</v>
      </c>
      <c r="D124" s="263">
        <f>IF(ISNA(VLOOKUP(B124,'Listado de Artículos'!$B$16:$F$1328,5,0)),0,(VLOOKUP(B124,'Listado de Artículos'!$B$16:$F$1328,5,0)))</f>
        <v>0.03</v>
      </c>
      <c r="E124" s="262">
        <v>1</v>
      </c>
      <c r="F124" s="262">
        <v>1</v>
      </c>
      <c r="G124" s="264">
        <f t="shared" si="15"/>
        <v>1</v>
      </c>
      <c r="H124" s="264">
        <f t="shared" si="16"/>
        <v>0</v>
      </c>
      <c r="I124" s="265">
        <f t="shared" si="17"/>
        <v>0</v>
      </c>
      <c r="J124" s="265">
        <f t="shared" si="18"/>
        <v>5.0000000000000001E-3</v>
      </c>
      <c r="K124" s="211">
        <f t="shared" si="19"/>
        <v>1.4999999999999999E-4</v>
      </c>
      <c r="L124" s="166"/>
      <c r="M124" s="167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 spans="1:26" ht="12.75" customHeight="1" x14ac:dyDescent="0.3">
      <c r="A125" s="167"/>
      <c r="B125" s="177" t="s">
        <v>41</v>
      </c>
      <c r="C125" s="262">
        <v>0.02</v>
      </c>
      <c r="D125" s="263">
        <f>IF(ISNA(VLOOKUP(B125,'Listado de Artículos'!$B$16:$F$1328,5,0)),0,(VLOOKUP(B125,'Listado de Artículos'!$B$16:$F$1328,5,0)))</f>
        <v>5.95</v>
      </c>
      <c r="E125" s="262">
        <v>1</v>
      </c>
      <c r="F125" s="262">
        <v>1</v>
      </c>
      <c r="G125" s="264">
        <f t="shared" si="15"/>
        <v>1</v>
      </c>
      <c r="H125" s="264">
        <f t="shared" si="16"/>
        <v>0</v>
      </c>
      <c r="I125" s="265">
        <f t="shared" si="17"/>
        <v>0</v>
      </c>
      <c r="J125" s="265">
        <f t="shared" si="18"/>
        <v>0.02</v>
      </c>
      <c r="K125" s="211">
        <f t="shared" si="19"/>
        <v>0.11900000000000001</v>
      </c>
      <c r="L125" s="166"/>
      <c r="M125" s="167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 spans="1:26" ht="12.75" customHeight="1" x14ac:dyDescent="0.3">
      <c r="A126" s="167"/>
      <c r="B126" s="177" t="s">
        <v>317</v>
      </c>
      <c r="C126" s="262">
        <v>5.0000000000000001E-3</v>
      </c>
      <c r="D126" s="263">
        <f>IF(ISNA(VLOOKUP(B126,'Listado de Artículos'!$B$16:$F$1328,5,0)),0,(VLOOKUP(B126,'Listado de Artículos'!$B$16:$F$1328,5,0)))</f>
        <v>5.78</v>
      </c>
      <c r="E126" s="262">
        <v>1</v>
      </c>
      <c r="F126" s="262">
        <v>1</v>
      </c>
      <c r="G126" s="264">
        <f t="shared" si="15"/>
        <v>1</v>
      </c>
      <c r="H126" s="264">
        <f t="shared" si="16"/>
        <v>0</v>
      </c>
      <c r="I126" s="265">
        <f t="shared" si="17"/>
        <v>0</v>
      </c>
      <c r="J126" s="265">
        <f t="shared" si="18"/>
        <v>5.0000000000000001E-3</v>
      </c>
      <c r="K126" s="211">
        <f t="shared" si="19"/>
        <v>2.8900000000000002E-2</v>
      </c>
      <c r="L126" s="166"/>
      <c r="M126" s="167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 spans="1:26" ht="12.75" customHeight="1" x14ac:dyDescent="0.3">
      <c r="A127" s="164"/>
      <c r="B127" s="165"/>
      <c r="C127" s="165"/>
      <c r="D127" s="165"/>
      <c r="E127" s="165"/>
      <c r="F127" s="165"/>
      <c r="G127" s="165"/>
      <c r="H127" s="165"/>
      <c r="I127" s="165"/>
      <c r="J127" s="165"/>
      <c r="K127" s="165"/>
      <c r="L127" s="164"/>
    </row>
    <row r="128" spans="1:26" ht="12.75" customHeight="1" x14ac:dyDescent="0.3">
      <c r="A128" s="164"/>
      <c r="B128" s="165"/>
      <c r="C128" s="165"/>
      <c r="D128" s="165"/>
      <c r="E128" s="165"/>
      <c r="F128" s="165"/>
      <c r="G128" s="165"/>
      <c r="H128" s="165"/>
      <c r="I128" s="165"/>
      <c r="J128" s="165"/>
      <c r="K128" s="165"/>
      <c r="L128" s="164"/>
    </row>
    <row r="129" spans="1:26" ht="12.75" customHeight="1" x14ac:dyDescent="0.3">
      <c r="A129" s="167"/>
      <c r="B129" s="166"/>
      <c r="C129" s="303" t="s">
        <v>405</v>
      </c>
      <c r="D129" s="304"/>
      <c r="E129" s="304"/>
      <c r="F129" s="304"/>
      <c r="G129" s="304"/>
      <c r="H129" s="304"/>
      <c r="I129" s="304"/>
      <c r="J129" s="304"/>
      <c r="K129" s="305"/>
      <c r="L129" s="166"/>
      <c r="M129" s="167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 spans="1:26" ht="12.75" customHeight="1" x14ac:dyDescent="0.3">
      <c r="A130" s="167"/>
      <c r="B130" s="166"/>
      <c r="C130" s="316" t="s">
        <v>406</v>
      </c>
      <c r="D130" s="304"/>
      <c r="E130" s="304"/>
      <c r="F130" s="304"/>
      <c r="G130" s="304"/>
      <c r="H130" s="304"/>
      <c r="I130" s="304"/>
      <c r="J130" s="304"/>
      <c r="K130" s="305"/>
      <c r="L130" s="166"/>
      <c r="M130" s="167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 spans="1:26" ht="12.75" customHeight="1" x14ac:dyDescent="0.3">
      <c r="A131" s="167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7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 spans="1:26" ht="12.75" customHeight="1" x14ac:dyDescent="0.3">
      <c r="A132" s="167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7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</row>
    <row r="133" spans="1:26" ht="12.75" customHeight="1" x14ac:dyDescent="0.3">
      <c r="A133" s="167"/>
      <c r="B133" s="167"/>
      <c r="C133" s="168" t="s">
        <v>407</v>
      </c>
      <c r="D133" s="309" t="s">
        <v>436</v>
      </c>
      <c r="E133" s="310"/>
      <c r="F133" s="310"/>
      <c r="G133" s="310"/>
      <c r="H133" s="310"/>
      <c r="I133" s="310"/>
      <c r="J133" s="310"/>
      <c r="K133" s="310"/>
      <c r="L133" s="166"/>
      <c r="M133" s="167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</row>
    <row r="134" spans="1:26" ht="12.75" customHeight="1" x14ac:dyDescent="0.3">
      <c r="A134" s="169"/>
      <c r="B134" s="169"/>
      <c r="C134" s="170" t="s">
        <v>409</v>
      </c>
      <c r="D134" s="311" t="s">
        <v>410</v>
      </c>
      <c r="E134" s="312"/>
      <c r="F134" s="312"/>
      <c r="G134" s="313"/>
      <c r="H134" s="319"/>
      <c r="I134" s="315"/>
      <c r="J134" s="307"/>
      <c r="K134" s="308"/>
      <c r="L134" s="167"/>
      <c r="M134" s="167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 spans="1:26" ht="12.75" customHeight="1" x14ac:dyDescent="0.3">
      <c r="A135" s="167"/>
      <c r="B135" s="166"/>
      <c r="C135" s="171" t="s">
        <v>415</v>
      </c>
      <c r="D135" s="194">
        <v>15</v>
      </c>
      <c r="E135" s="317" t="s">
        <v>412</v>
      </c>
      <c r="F135" s="318"/>
      <c r="G135" s="172">
        <f>SUM(K138:K149)</f>
        <v>346.63800000000003</v>
      </c>
      <c r="H135" s="314" t="s">
        <v>437</v>
      </c>
      <c r="I135" s="315"/>
      <c r="J135" s="261">
        <f>G135/D135</f>
        <v>23.109200000000001</v>
      </c>
      <c r="K135" s="270"/>
      <c r="L135" s="166"/>
      <c r="M135" s="167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 spans="1:26" ht="12.75" customHeight="1" x14ac:dyDescent="0.3">
      <c r="A136" s="167"/>
      <c r="B136" s="174"/>
      <c r="C136" s="174"/>
      <c r="D136" s="174"/>
      <c r="E136" s="174"/>
      <c r="F136" s="174"/>
      <c r="G136" s="174"/>
      <c r="H136" s="174"/>
      <c r="I136" s="174"/>
      <c r="J136" s="166"/>
      <c r="K136" s="166"/>
      <c r="L136" s="166"/>
      <c r="M136" s="167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 spans="1:26" ht="12.75" customHeight="1" x14ac:dyDescent="0.3">
      <c r="A137" s="167"/>
      <c r="B137" s="175" t="s">
        <v>414</v>
      </c>
      <c r="C137" s="219" t="s">
        <v>415</v>
      </c>
      <c r="D137" s="219" t="s">
        <v>416</v>
      </c>
      <c r="E137" s="219" t="s">
        <v>417</v>
      </c>
      <c r="F137" s="219" t="s">
        <v>418</v>
      </c>
      <c r="G137" s="219" t="s">
        <v>419</v>
      </c>
      <c r="H137" s="219" t="s">
        <v>420</v>
      </c>
      <c r="I137" s="219" t="s">
        <v>421</v>
      </c>
      <c r="J137" s="219" t="s">
        <v>422</v>
      </c>
      <c r="K137" s="220" t="s">
        <v>423</v>
      </c>
      <c r="L137" s="166"/>
      <c r="M137" s="167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 spans="1:26" ht="12.75" customHeight="1" x14ac:dyDescent="0.3">
      <c r="A138" s="167"/>
      <c r="B138" s="192" t="s">
        <v>347</v>
      </c>
      <c r="C138" s="262">
        <v>12</v>
      </c>
      <c r="D138" s="263">
        <f>IF(ISNA(VLOOKUP(B138,'Listado de Artículos'!$B$16:$F$1328,5,0)),0,(VLOOKUP(B138,'Listado de Artículos'!$B$16:$F$1328,5,0)))</f>
        <v>13.9</v>
      </c>
      <c r="E138" s="262">
        <v>1</v>
      </c>
      <c r="F138" s="262">
        <v>1</v>
      </c>
      <c r="G138" s="264">
        <f t="shared" ref="G138:G149" si="20">IF(E138&gt;0,(F138/E138),"")</f>
        <v>1</v>
      </c>
      <c r="H138" s="264">
        <f t="shared" ref="H138:H149" si="21">IF(E138&gt;0,(100%-G138),"")</f>
        <v>0</v>
      </c>
      <c r="I138" s="265">
        <f t="shared" ref="I138:I149" si="22">IF(C138&gt;0,(H138*C138/G138),"")</f>
        <v>0</v>
      </c>
      <c r="J138" s="265">
        <f t="shared" ref="J138:J149" si="23">IF(C138&gt;0,(C138+I138),"")</f>
        <v>12</v>
      </c>
      <c r="K138" s="211">
        <f t="shared" ref="K138:K149" si="24">IF(D138&gt;0,(D138*J138),"")</f>
        <v>166.8</v>
      </c>
      <c r="L138" s="166"/>
      <c r="M138" s="167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 spans="1:26" ht="12.75" customHeight="1" x14ac:dyDescent="0.3">
      <c r="A139" s="167"/>
      <c r="B139" s="177" t="s">
        <v>57</v>
      </c>
      <c r="C139" s="262">
        <v>1.4</v>
      </c>
      <c r="D139" s="263">
        <f>IF(ISNA(VLOOKUP(B139,'Listado de Artículos'!$B$16:$F$1328,5,0)),0,(VLOOKUP(B139,'Listado de Artículos'!$B$16:$F$1328,5,0)))</f>
        <v>2</v>
      </c>
      <c r="E139" s="262">
        <v>1</v>
      </c>
      <c r="F139" s="262">
        <v>1</v>
      </c>
      <c r="G139" s="264">
        <f t="shared" si="20"/>
        <v>1</v>
      </c>
      <c r="H139" s="264">
        <f t="shared" si="21"/>
        <v>0</v>
      </c>
      <c r="I139" s="265">
        <f t="shared" si="22"/>
        <v>0</v>
      </c>
      <c r="J139" s="265">
        <f t="shared" si="23"/>
        <v>1.4</v>
      </c>
      <c r="K139" s="211">
        <f t="shared" si="24"/>
        <v>2.8</v>
      </c>
      <c r="L139" s="166"/>
      <c r="M139" s="167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 spans="1:26" ht="12.75" customHeight="1" x14ac:dyDescent="0.3">
      <c r="A140" s="167"/>
      <c r="B140" s="177" t="s">
        <v>41</v>
      </c>
      <c r="C140" s="262">
        <v>3</v>
      </c>
      <c r="D140" s="263">
        <f>IF(ISNA(VLOOKUP(B140,'Listado de Artículos'!$B$16:$F$1328,5,0)),0,(VLOOKUP(B140,'Listado de Artículos'!$B$16:$F$1328,5,0)))</f>
        <v>5.95</v>
      </c>
      <c r="E140" s="262">
        <v>1</v>
      </c>
      <c r="F140" s="262">
        <v>1</v>
      </c>
      <c r="G140" s="264">
        <f t="shared" si="20"/>
        <v>1</v>
      </c>
      <c r="H140" s="264">
        <f t="shared" si="21"/>
        <v>0</v>
      </c>
      <c r="I140" s="265">
        <f t="shared" si="22"/>
        <v>0</v>
      </c>
      <c r="J140" s="265">
        <f t="shared" si="23"/>
        <v>3</v>
      </c>
      <c r="K140" s="211">
        <f t="shared" si="24"/>
        <v>17.850000000000001</v>
      </c>
      <c r="L140" s="166"/>
      <c r="M140" s="167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 spans="1:26" ht="12.75" customHeight="1" x14ac:dyDescent="0.3">
      <c r="A141" s="167"/>
      <c r="B141" s="177" t="s">
        <v>43</v>
      </c>
      <c r="C141" s="262">
        <v>3</v>
      </c>
      <c r="D141" s="263">
        <f>IF(ISNA(VLOOKUP(B141,'Listado de Artículos'!$B$16:$F$1328,5,0)),0,(VLOOKUP(B141,'Listado de Artículos'!$B$16:$F$1328,5,0)))</f>
        <v>8.9700000000000006</v>
      </c>
      <c r="E141" s="262">
        <v>1</v>
      </c>
      <c r="F141" s="262">
        <v>1</v>
      </c>
      <c r="G141" s="264">
        <f t="shared" si="20"/>
        <v>1</v>
      </c>
      <c r="H141" s="264">
        <f t="shared" si="21"/>
        <v>0</v>
      </c>
      <c r="I141" s="265">
        <f t="shared" si="22"/>
        <v>0</v>
      </c>
      <c r="J141" s="265">
        <f t="shared" si="23"/>
        <v>3</v>
      </c>
      <c r="K141" s="211">
        <f t="shared" si="24"/>
        <v>26.910000000000004</v>
      </c>
      <c r="L141" s="166"/>
      <c r="M141" s="167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 spans="1:26" ht="12.75" customHeight="1" x14ac:dyDescent="0.3">
      <c r="A142" s="167"/>
      <c r="B142" s="177" t="s">
        <v>66</v>
      </c>
      <c r="C142" s="262">
        <v>1.5</v>
      </c>
      <c r="D142" s="263">
        <f>IF(ISNA(VLOOKUP(B142,'Listado de Artículos'!$B$16:$F$1328,5,0)),0,(VLOOKUP(B142,'Listado de Artículos'!$B$16:$F$1328,5,0)))</f>
        <v>85.56</v>
      </c>
      <c r="E142" s="262">
        <v>1</v>
      </c>
      <c r="F142" s="262">
        <v>1</v>
      </c>
      <c r="G142" s="264">
        <f t="shared" si="20"/>
        <v>1</v>
      </c>
      <c r="H142" s="264">
        <f t="shared" si="21"/>
        <v>0</v>
      </c>
      <c r="I142" s="265">
        <f t="shared" si="22"/>
        <v>0</v>
      </c>
      <c r="J142" s="265">
        <f t="shared" si="23"/>
        <v>1.5</v>
      </c>
      <c r="K142" s="211">
        <f t="shared" si="24"/>
        <v>128.34</v>
      </c>
      <c r="L142" s="166"/>
      <c r="M142" s="167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 spans="1:26" ht="12.75" customHeight="1" x14ac:dyDescent="0.3">
      <c r="A143" s="167"/>
      <c r="B143" s="177" t="s">
        <v>85</v>
      </c>
      <c r="C143" s="262">
        <v>1.5</v>
      </c>
      <c r="D143" s="263">
        <f>IF(ISNA(VLOOKUP(B143,'Listado de Artículos'!$B$16:$F$1328,5,0)),0,(VLOOKUP(B143,'Listado de Artículos'!$B$16:$F$1328,5,0)))</f>
        <v>1.1499999999999999</v>
      </c>
      <c r="E143" s="262">
        <v>1</v>
      </c>
      <c r="F143" s="262">
        <v>1</v>
      </c>
      <c r="G143" s="264">
        <f t="shared" si="20"/>
        <v>1</v>
      </c>
      <c r="H143" s="264">
        <f t="shared" si="21"/>
        <v>0</v>
      </c>
      <c r="I143" s="265">
        <f t="shared" si="22"/>
        <v>0</v>
      </c>
      <c r="J143" s="265">
        <f t="shared" si="23"/>
        <v>1.5</v>
      </c>
      <c r="K143" s="211">
        <f t="shared" si="24"/>
        <v>1.7249999999999999</v>
      </c>
      <c r="L143" s="166"/>
      <c r="M143" s="167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 spans="1:26" ht="12.75" customHeight="1" x14ac:dyDescent="0.3">
      <c r="A144" s="167"/>
      <c r="B144" s="177" t="s">
        <v>291</v>
      </c>
      <c r="C144" s="262">
        <v>2.5000000000000001E-2</v>
      </c>
      <c r="D144" s="263">
        <f>IF(ISNA(VLOOKUP(B144,'Listado de Artículos'!$B$16:$F$1328,5,0)),0,(VLOOKUP(B144,'Listado de Artículos'!$B$16:$F$1328,5,0)))</f>
        <v>23</v>
      </c>
      <c r="E144" s="262">
        <v>1</v>
      </c>
      <c r="F144" s="262">
        <v>1</v>
      </c>
      <c r="G144" s="264">
        <f t="shared" si="20"/>
        <v>1</v>
      </c>
      <c r="H144" s="264">
        <f t="shared" si="21"/>
        <v>0</v>
      </c>
      <c r="I144" s="265">
        <f t="shared" si="22"/>
        <v>0</v>
      </c>
      <c r="J144" s="265">
        <f t="shared" si="23"/>
        <v>2.5000000000000001E-2</v>
      </c>
      <c r="K144" s="211">
        <f t="shared" si="24"/>
        <v>0.57500000000000007</v>
      </c>
      <c r="L144" s="166"/>
      <c r="M144" s="167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 spans="1:26" ht="12.75" customHeight="1" x14ac:dyDescent="0.3">
      <c r="A145" s="167"/>
      <c r="B145" s="177" t="s">
        <v>355</v>
      </c>
      <c r="C145" s="262">
        <v>0.25</v>
      </c>
      <c r="D145" s="263">
        <f>IF(ISNA(VLOOKUP(B145,'Listado de Artículos'!$B$16:$F$1328,5,0)),0,(VLOOKUP(B145,'Listado de Artículos'!$B$16:$F$1328,5,0)))</f>
        <v>1</v>
      </c>
      <c r="E145" s="262">
        <v>1</v>
      </c>
      <c r="F145" s="262">
        <v>1</v>
      </c>
      <c r="G145" s="264">
        <f t="shared" si="20"/>
        <v>1</v>
      </c>
      <c r="H145" s="264">
        <f t="shared" si="21"/>
        <v>0</v>
      </c>
      <c r="I145" s="265">
        <f t="shared" si="22"/>
        <v>0</v>
      </c>
      <c r="J145" s="265">
        <f t="shared" si="23"/>
        <v>0.25</v>
      </c>
      <c r="K145" s="211">
        <f t="shared" si="24"/>
        <v>0.25</v>
      </c>
      <c r="L145" s="166"/>
      <c r="M145" s="167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 spans="1:26" ht="12.75" customHeight="1" x14ac:dyDescent="0.3">
      <c r="A146" s="167"/>
      <c r="B146" s="177" t="s">
        <v>354</v>
      </c>
      <c r="C146" s="262">
        <v>0.05</v>
      </c>
      <c r="D146" s="263">
        <f>IF(ISNA(VLOOKUP(B146,'Listado de Artículos'!$B$16:$F$1328,5,0)),0,(VLOOKUP(B146,'Listado de Artículos'!$B$16:$F$1328,5,0)))</f>
        <v>4.5</v>
      </c>
      <c r="E146" s="262">
        <v>1</v>
      </c>
      <c r="F146" s="262">
        <v>1</v>
      </c>
      <c r="G146" s="264">
        <f t="shared" si="20"/>
        <v>1</v>
      </c>
      <c r="H146" s="264">
        <f t="shared" si="21"/>
        <v>0</v>
      </c>
      <c r="I146" s="265">
        <f t="shared" si="22"/>
        <v>0</v>
      </c>
      <c r="J146" s="265">
        <f t="shared" si="23"/>
        <v>0.05</v>
      </c>
      <c r="K146" s="211">
        <f t="shared" si="24"/>
        <v>0.22500000000000001</v>
      </c>
      <c r="L146" s="166"/>
      <c r="M146" s="167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 spans="1:26" ht="12.75" customHeight="1" x14ac:dyDescent="0.3">
      <c r="A147" s="167"/>
      <c r="B147" s="177" t="s">
        <v>135</v>
      </c>
      <c r="C147" s="262">
        <v>0.01</v>
      </c>
      <c r="D147" s="263">
        <f>IF(ISNA(VLOOKUP(B147,'Listado de Artículos'!$B$16:$F$1328,5,0)),0,(VLOOKUP(B147,'Listado de Artículos'!$B$16:$F$1328,5,0)))</f>
        <v>1.55</v>
      </c>
      <c r="E147" s="262">
        <v>1</v>
      </c>
      <c r="F147" s="262">
        <v>1</v>
      </c>
      <c r="G147" s="264">
        <f t="shared" si="20"/>
        <v>1</v>
      </c>
      <c r="H147" s="264">
        <f t="shared" si="21"/>
        <v>0</v>
      </c>
      <c r="I147" s="265">
        <f t="shared" si="22"/>
        <v>0</v>
      </c>
      <c r="J147" s="265">
        <f t="shared" si="23"/>
        <v>0.01</v>
      </c>
      <c r="K147" s="211">
        <f t="shared" si="24"/>
        <v>1.5500000000000002E-2</v>
      </c>
      <c r="L147" s="166"/>
      <c r="M147" s="167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 spans="1:26" ht="12.75" customHeight="1" x14ac:dyDescent="0.3">
      <c r="A148" s="167"/>
      <c r="B148" s="177" t="s">
        <v>316</v>
      </c>
      <c r="C148" s="262">
        <v>0.06</v>
      </c>
      <c r="D148" s="263">
        <f>IF(ISNA(VLOOKUP(B148,'Listado de Artículos'!$B$16:$F$1328,5,0)),0,(VLOOKUP(B148,'Listado de Artículos'!$B$16:$F$1328,5,0)))</f>
        <v>3.5</v>
      </c>
      <c r="E148" s="262">
        <v>1</v>
      </c>
      <c r="F148" s="262">
        <v>1</v>
      </c>
      <c r="G148" s="264">
        <f t="shared" si="20"/>
        <v>1</v>
      </c>
      <c r="H148" s="264">
        <f t="shared" si="21"/>
        <v>0</v>
      </c>
      <c r="I148" s="265">
        <f t="shared" si="22"/>
        <v>0</v>
      </c>
      <c r="J148" s="265">
        <f t="shared" si="23"/>
        <v>0.06</v>
      </c>
      <c r="K148" s="211">
        <f t="shared" si="24"/>
        <v>0.21</v>
      </c>
      <c r="L148" s="166"/>
      <c r="M148" s="167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 spans="1:26" ht="12.75" customHeight="1" x14ac:dyDescent="0.3">
      <c r="A149" s="167"/>
      <c r="B149" s="177" t="s">
        <v>125</v>
      </c>
      <c r="C149" s="262">
        <v>0.05</v>
      </c>
      <c r="D149" s="263">
        <f>IF(ISNA(VLOOKUP(B149,'Listado de Artículos'!$B$16:$F$1328,5,0)),0,(VLOOKUP(B149,'Listado de Artículos'!$B$16:$F$1328,5,0)))</f>
        <v>18.75</v>
      </c>
      <c r="E149" s="262">
        <v>1</v>
      </c>
      <c r="F149" s="262">
        <v>1</v>
      </c>
      <c r="G149" s="264">
        <f t="shared" si="20"/>
        <v>1</v>
      </c>
      <c r="H149" s="264">
        <f t="shared" si="21"/>
        <v>0</v>
      </c>
      <c r="I149" s="265">
        <f t="shared" si="22"/>
        <v>0</v>
      </c>
      <c r="J149" s="265">
        <f t="shared" si="23"/>
        <v>0.05</v>
      </c>
      <c r="K149" s="211">
        <f t="shared" si="24"/>
        <v>0.9375</v>
      </c>
      <c r="L149" s="166"/>
      <c r="M149" s="167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 spans="1:26" ht="12.75" customHeight="1" x14ac:dyDescent="0.3">
      <c r="A150" s="164"/>
      <c r="B150" s="165"/>
      <c r="C150" s="165"/>
      <c r="D150" s="165"/>
      <c r="E150" s="165"/>
      <c r="F150" s="165"/>
      <c r="G150" s="165"/>
      <c r="H150" s="165"/>
      <c r="I150" s="165"/>
      <c r="J150" s="165"/>
      <c r="K150" s="165"/>
      <c r="L150" s="164"/>
    </row>
    <row r="151" spans="1:26" ht="12.75" customHeight="1" x14ac:dyDescent="0.3">
      <c r="A151" s="167"/>
      <c r="B151" s="166"/>
      <c r="C151" s="303" t="s">
        <v>405</v>
      </c>
      <c r="D151" s="304"/>
      <c r="E151" s="304"/>
      <c r="F151" s="304"/>
      <c r="G151" s="304"/>
      <c r="H151" s="304"/>
      <c r="I151" s="304"/>
      <c r="J151" s="304"/>
      <c r="K151" s="305"/>
      <c r="L151" s="166"/>
      <c r="M151" s="167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 spans="1:26" ht="12.75" customHeight="1" x14ac:dyDescent="0.3">
      <c r="A152" s="167"/>
      <c r="B152" s="166"/>
      <c r="C152" s="316" t="s">
        <v>406</v>
      </c>
      <c r="D152" s="304"/>
      <c r="E152" s="304"/>
      <c r="F152" s="304"/>
      <c r="G152" s="304"/>
      <c r="H152" s="304"/>
      <c r="I152" s="304"/>
      <c r="J152" s="304"/>
      <c r="K152" s="305"/>
      <c r="L152" s="166"/>
      <c r="M152" s="167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 spans="1:26" ht="12.75" customHeight="1" x14ac:dyDescent="0.3">
      <c r="A153" s="167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7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 spans="1:26" ht="12.75" customHeight="1" x14ac:dyDescent="0.3">
      <c r="A154" s="167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7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</row>
    <row r="155" spans="1:26" ht="12.75" customHeight="1" x14ac:dyDescent="0.3">
      <c r="A155" s="167"/>
      <c r="B155" s="167"/>
      <c r="C155" s="168" t="s">
        <v>407</v>
      </c>
      <c r="D155" s="309" t="s">
        <v>438</v>
      </c>
      <c r="E155" s="310"/>
      <c r="F155" s="310"/>
      <c r="G155" s="310"/>
      <c r="H155" s="310"/>
      <c r="I155" s="310"/>
      <c r="J155" s="310"/>
      <c r="K155" s="310"/>
      <c r="L155" s="166"/>
      <c r="M155" s="167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</row>
    <row r="156" spans="1:26" ht="12.75" customHeight="1" x14ac:dyDescent="0.3">
      <c r="A156" s="169"/>
      <c r="B156" s="169"/>
      <c r="C156" s="170" t="s">
        <v>409</v>
      </c>
      <c r="D156" s="311" t="s">
        <v>410</v>
      </c>
      <c r="E156" s="312"/>
      <c r="F156" s="312"/>
      <c r="G156" s="313"/>
      <c r="H156" s="319"/>
      <c r="I156" s="315"/>
      <c r="J156" s="307"/>
      <c r="K156" s="308"/>
      <c r="L156" s="167"/>
      <c r="M156" s="167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 spans="1:26" ht="12.75" customHeight="1" x14ac:dyDescent="0.3">
      <c r="A157" s="167"/>
      <c r="B157" s="166"/>
      <c r="C157" s="171" t="s">
        <v>411</v>
      </c>
      <c r="D157" s="260">
        <v>1</v>
      </c>
      <c r="E157" s="317" t="s">
        <v>412</v>
      </c>
      <c r="F157" s="318"/>
      <c r="G157" s="172">
        <f>SUM(K160:K164)</f>
        <v>14.112677777777776</v>
      </c>
      <c r="H157" s="314" t="s">
        <v>432</v>
      </c>
      <c r="I157" s="315"/>
      <c r="J157" s="261">
        <f>G157/D157</f>
        <v>14.112677777777776</v>
      </c>
      <c r="K157" s="270"/>
      <c r="L157" s="166"/>
      <c r="M157" s="167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 spans="1:26" ht="12.75" customHeight="1" x14ac:dyDescent="0.3">
      <c r="A158" s="167"/>
      <c r="B158" s="174"/>
      <c r="C158" s="174"/>
      <c r="D158" s="174"/>
      <c r="E158" s="174"/>
      <c r="F158" s="174"/>
      <c r="G158" s="174"/>
      <c r="H158" s="174"/>
      <c r="I158" s="174"/>
      <c r="J158" s="166"/>
      <c r="K158" s="166"/>
      <c r="L158" s="166"/>
      <c r="M158" s="167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 spans="1:26" ht="12.75" customHeight="1" x14ac:dyDescent="0.3">
      <c r="A159" s="167"/>
      <c r="B159" s="175" t="s">
        <v>414</v>
      </c>
      <c r="C159" s="219" t="s">
        <v>415</v>
      </c>
      <c r="D159" s="219" t="s">
        <v>416</v>
      </c>
      <c r="E159" s="219" t="s">
        <v>417</v>
      </c>
      <c r="F159" s="219" t="s">
        <v>418</v>
      </c>
      <c r="G159" s="219" t="s">
        <v>419</v>
      </c>
      <c r="H159" s="219" t="s">
        <v>420</v>
      </c>
      <c r="I159" s="219" t="s">
        <v>421</v>
      </c>
      <c r="J159" s="219" t="s">
        <v>422</v>
      </c>
      <c r="K159" s="220" t="s">
        <v>423</v>
      </c>
      <c r="L159" s="166"/>
      <c r="M159" s="167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 spans="1:26" ht="12.75" customHeight="1" x14ac:dyDescent="0.3">
      <c r="A160" s="167"/>
      <c r="B160" s="192" t="s">
        <v>192</v>
      </c>
      <c r="C160" s="262">
        <v>0.01</v>
      </c>
      <c r="D160" s="263">
        <f>IF(ISNA(VLOOKUP(B160,'Listado de Artículos'!$B$16:$F$1328,5,0)),0,(VLOOKUP(B160,'Listado de Artículos'!$B$16:$F$1328,5,0)))</f>
        <v>11.5</v>
      </c>
      <c r="E160" s="262">
        <v>1</v>
      </c>
      <c r="F160" s="262">
        <v>0.9</v>
      </c>
      <c r="G160" s="264">
        <f>IF(E160&gt;0,(F160/E160),"")</f>
        <v>0.9</v>
      </c>
      <c r="H160" s="264">
        <f>IF(E160&gt;0,(100%-G160),"")</f>
        <v>9.9999999999999978E-2</v>
      </c>
      <c r="I160" s="265">
        <f>IF(C160&gt;0,(H160*C160/G160),"")</f>
        <v>1.1111111111111109E-3</v>
      </c>
      <c r="J160" s="265">
        <f>IF(C160&gt;0,(C160+I160),"")</f>
        <v>1.1111111111111112E-2</v>
      </c>
      <c r="K160" s="211">
        <f>IF(D160&gt;0,(D160*J160),"")</f>
        <v>0.1277777777777778</v>
      </c>
      <c r="L160" s="166"/>
      <c r="M160" s="167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 spans="1:26" ht="12.75" customHeight="1" x14ac:dyDescent="0.3">
      <c r="A161" s="167"/>
      <c r="B161" s="191" t="s">
        <v>262</v>
      </c>
      <c r="C161" s="262">
        <v>1.4999999999999999E-2</v>
      </c>
      <c r="D161" s="263">
        <f>IF(ISNA(VLOOKUP(B161,'Listado de Artículos'!$B$16:$F$1328,5,0)),0,(VLOOKUP(B161,'Listado de Artículos'!$B$16:$F$1328,5,0)))</f>
        <v>8.5</v>
      </c>
      <c r="E161" s="262">
        <v>1</v>
      </c>
      <c r="F161" s="262">
        <v>1</v>
      </c>
      <c r="G161" s="264">
        <f>IF(E161&gt;0,(F161/E161),"")</f>
        <v>1</v>
      </c>
      <c r="H161" s="264">
        <f>IF(E161&gt;0,(100%-G161),"")</f>
        <v>0</v>
      </c>
      <c r="I161" s="265">
        <f>IF(C161&gt;0,(H161*C161/G161),"")</f>
        <v>0</v>
      </c>
      <c r="J161" s="265">
        <f>IF(C161&gt;0,(C161+I161),"")</f>
        <v>1.4999999999999999E-2</v>
      </c>
      <c r="K161" s="211">
        <f>IF(D161&gt;0,(D161*J161),"")</f>
        <v>0.1275</v>
      </c>
      <c r="L161" s="166"/>
      <c r="M161" s="167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 spans="1:26" ht="12.75" customHeight="1" x14ac:dyDescent="0.3">
      <c r="A162" s="167"/>
      <c r="B162" s="177" t="s">
        <v>263</v>
      </c>
      <c r="C162" s="262">
        <v>1.4999999999999999E-2</v>
      </c>
      <c r="D162" s="263">
        <f>IF(ISNA(VLOOKUP(B162,'Listado de Artículos'!$B$16:$F$1328,5,0)),0,(VLOOKUP(B162,'Listado de Artículos'!$B$16:$F$1328,5,0)))</f>
        <v>6.46</v>
      </c>
      <c r="E162" s="262">
        <v>1</v>
      </c>
      <c r="F162" s="262">
        <v>1</v>
      </c>
      <c r="G162" s="264">
        <f>IF(E162&gt;0,(F162/E162),"")</f>
        <v>1</v>
      </c>
      <c r="H162" s="264">
        <f>IF(E162&gt;0,(100%-G162),"")</f>
        <v>0</v>
      </c>
      <c r="I162" s="265">
        <f>IF(C162&gt;0,(H162*C162/G162),"")</f>
        <v>0</v>
      </c>
      <c r="J162" s="265">
        <f>IF(C162&gt;0,(C162+I162),"")</f>
        <v>1.4999999999999999E-2</v>
      </c>
      <c r="K162" s="211">
        <f>IF(D162&gt;0,(D162*J162),"")</f>
        <v>9.69E-2</v>
      </c>
      <c r="L162" s="166"/>
      <c r="M162" s="167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 spans="1:26" ht="12.75" customHeight="1" x14ac:dyDescent="0.3">
      <c r="A163" s="167"/>
      <c r="B163" s="177" t="s">
        <v>84</v>
      </c>
      <c r="C163" s="262">
        <v>0.01</v>
      </c>
      <c r="D163" s="263">
        <f>IF(ISNA(VLOOKUP(B163,'Listado de Artículos'!$B$16:$F$1328,5,0)),0,(VLOOKUP(B163,'Listado de Artículos'!$B$16:$F$1328,5,0)))</f>
        <v>522.04999999999995</v>
      </c>
      <c r="E163" s="262">
        <v>1</v>
      </c>
      <c r="F163" s="262">
        <v>1</v>
      </c>
      <c r="G163" s="264">
        <f>IF(E163&gt;0,(F163/E163),"")</f>
        <v>1</v>
      </c>
      <c r="H163" s="264">
        <f>IF(E163&gt;0,(100%-G163),"")</f>
        <v>0</v>
      </c>
      <c r="I163" s="265">
        <f>IF(C163&gt;0,(H163*C163/G163),"")</f>
        <v>0</v>
      </c>
      <c r="J163" s="265">
        <f>IF(C163&gt;0,(C163+I163),"")</f>
        <v>0.01</v>
      </c>
      <c r="K163" s="211">
        <f>IF(D163&gt;0,(D163*J163),"")</f>
        <v>5.2204999999999995</v>
      </c>
      <c r="L163" s="166"/>
      <c r="M163" s="167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 spans="1:26" ht="12.75" customHeight="1" x14ac:dyDescent="0.3">
      <c r="A164" s="167"/>
      <c r="B164" s="177" t="s">
        <v>329</v>
      </c>
      <c r="C164" s="262">
        <v>1</v>
      </c>
      <c r="D164" s="263">
        <f>IF(ISNA(VLOOKUP(B164,'Listado de Artículos'!$B$16:$F$1328,5,0)),0,(VLOOKUP(B164,'Listado de Artículos'!$B$16:$F$1328,5,0)))</f>
        <v>8.5399999999999991</v>
      </c>
      <c r="E164" s="262">
        <v>1</v>
      </c>
      <c r="F164" s="262">
        <v>1</v>
      </c>
      <c r="G164" s="264">
        <f>IF(E164&gt;0,(F164/E164),"")</f>
        <v>1</v>
      </c>
      <c r="H164" s="264">
        <f>IF(E164&gt;0,(100%-G164),"")</f>
        <v>0</v>
      </c>
      <c r="I164" s="265">
        <f>IF(C164&gt;0,(H164*C164/G164),"")</f>
        <v>0</v>
      </c>
      <c r="J164" s="265">
        <f>IF(C164&gt;0,(C164+I164),"")</f>
        <v>1</v>
      </c>
      <c r="K164" s="211">
        <f>IF(D164&gt;0,(D164*J164),"")</f>
        <v>8.5399999999999991</v>
      </c>
      <c r="L164" s="166"/>
      <c r="M164" s="167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 spans="1:26" ht="12.75" customHeight="1" x14ac:dyDescent="0.3">
      <c r="A165" s="164"/>
      <c r="B165" s="165"/>
      <c r="C165" s="165"/>
      <c r="D165" s="165"/>
      <c r="E165" s="165"/>
      <c r="F165" s="165"/>
      <c r="G165" s="165"/>
      <c r="H165" s="165"/>
      <c r="I165" s="165"/>
      <c r="J165" s="165"/>
      <c r="K165" s="165"/>
      <c r="L165" s="164"/>
    </row>
    <row r="166" spans="1:26" ht="12.75" customHeight="1" x14ac:dyDescent="0.3">
      <c r="A166" s="167"/>
      <c r="B166" s="166"/>
      <c r="C166" s="303" t="s">
        <v>405</v>
      </c>
      <c r="D166" s="304"/>
      <c r="E166" s="304"/>
      <c r="F166" s="304"/>
      <c r="G166" s="304"/>
      <c r="H166" s="304"/>
      <c r="I166" s="304"/>
      <c r="J166" s="304"/>
      <c r="K166" s="305"/>
      <c r="L166" s="166"/>
      <c r="M166" s="167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 spans="1:26" ht="12.75" customHeight="1" x14ac:dyDescent="0.3">
      <c r="A167" s="167"/>
      <c r="B167" s="166"/>
      <c r="C167" s="316" t="s">
        <v>406</v>
      </c>
      <c r="D167" s="304"/>
      <c r="E167" s="304"/>
      <c r="F167" s="304"/>
      <c r="G167" s="304"/>
      <c r="H167" s="304"/>
      <c r="I167" s="304"/>
      <c r="J167" s="304"/>
      <c r="K167" s="305"/>
      <c r="L167" s="166"/>
      <c r="M167" s="167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 spans="1:26" ht="12.75" customHeight="1" x14ac:dyDescent="0.3">
      <c r="A168" s="167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7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 spans="1:26" ht="12.75" customHeight="1" x14ac:dyDescent="0.3">
      <c r="A169" s="167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7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 spans="1:26" ht="12.75" customHeight="1" x14ac:dyDescent="0.3">
      <c r="A170" s="167"/>
      <c r="B170" s="167"/>
      <c r="C170" s="168" t="s">
        <v>407</v>
      </c>
      <c r="D170" s="309" t="s">
        <v>439</v>
      </c>
      <c r="E170" s="310"/>
      <c r="F170" s="310"/>
      <c r="G170" s="310"/>
      <c r="H170" s="310"/>
      <c r="I170" s="310"/>
      <c r="J170" s="310"/>
      <c r="K170" s="310"/>
      <c r="L170" s="166"/>
      <c r="M170" s="167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</row>
    <row r="171" spans="1:26" ht="12.75" customHeight="1" x14ac:dyDescent="0.3">
      <c r="A171" s="169"/>
      <c r="B171" s="169"/>
      <c r="C171" s="170" t="s">
        <v>409</v>
      </c>
      <c r="D171" s="311"/>
      <c r="E171" s="312"/>
      <c r="F171" s="312"/>
      <c r="G171" s="313"/>
      <c r="H171" s="319"/>
      <c r="I171" s="315"/>
      <c r="J171" s="307"/>
      <c r="K171" s="308"/>
      <c r="L171" s="167"/>
      <c r="M171" s="167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 spans="1:26" ht="12.75" customHeight="1" x14ac:dyDescent="0.3">
      <c r="A172" s="167"/>
      <c r="B172" s="166"/>
      <c r="C172" s="171" t="s">
        <v>411</v>
      </c>
      <c r="D172" s="260">
        <v>1</v>
      </c>
      <c r="E172" s="317" t="s">
        <v>412</v>
      </c>
      <c r="F172" s="318"/>
      <c r="G172" s="172">
        <f>SUM(K175:K183)</f>
        <v>1.3573899999999999</v>
      </c>
      <c r="H172" s="314" t="s">
        <v>432</v>
      </c>
      <c r="I172" s="315"/>
      <c r="J172" s="261">
        <f>G172/D172</f>
        <v>1.3573899999999999</v>
      </c>
      <c r="K172" s="270"/>
      <c r="L172" s="166"/>
      <c r="M172" s="167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 spans="1:26" ht="12.75" customHeight="1" x14ac:dyDescent="0.3">
      <c r="A173" s="167"/>
      <c r="B173" s="174"/>
      <c r="C173" s="174"/>
      <c r="D173" s="174"/>
      <c r="E173" s="174"/>
      <c r="F173" s="174"/>
      <c r="G173" s="174"/>
      <c r="H173" s="174"/>
      <c r="I173" s="174"/>
      <c r="J173" s="166"/>
      <c r="K173" s="166"/>
      <c r="L173" s="166"/>
      <c r="M173" s="167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</row>
    <row r="174" spans="1:26" ht="12.75" customHeight="1" x14ac:dyDescent="0.3">
      <c r="A174" s="167"/>
      <c r="B174" s="175" t="s">
        <v>414</v>
      </c>
      <c r="C174" s="219" t="s">
        <v>415</v>
      </c>
      <c r="D174" s="219" t="s">
        <v>416</v>
      </c>
      <c r="E174" s="219" t="s">
        <v>417</v>
      </c>
      <c r="F174" s="219" t="s">
        <v>418</v>
      </c>
      <c r="G174" s="219" t="s">
        <v>419</v>
      </c>
      <c r="H174" s="219" t="s">
        <v>420</v>
      </c>
      <c r="I174" s="219" t="s">
        <v>421</v>
      </c>
      <c r="J174" s="219" t="s">
        <v>422</v>
      </c>
      <c r="K174" s="220" t="s">
        <v>423</v>
      </c>
      <c r="L174" s="166"/>
      <c r="M174" s="167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 spans="1:26" ht="12.75" customHeight="1" x14ac:dyDescent="0.3">
      <c r="A175" s="167"/>
      <c r="B175" s="192" t="s">
        <v>222</v>
      </c>
      <c r="C175" s="262">
        <v>0.03</v>
      </c>
      <c r="D175" s="263">
        <f>IF(ISNA(VLOOKUP(B175,'Listado de Artículos'!$B$16:$F$1328,5,0)),0,(VLOOKUP(B175,'Listado de Artículos'!$B$16:$F$1328,5,0)))</f>
        <v>8.5</v>
      </c>
      <c r="E175" s="262">
        <v>1</v>
      </c>
      <c r="F175" s="262">
        <v>1</v>
      </c>
      <c r="G175" s="264">
        <f t="shared" ref="G175:G183" si="25">IF(E175&gt;0,(F175/E175),"")</f>
        <v>1</v>
      </c>
      <c r="H175" s="264">
        <f t="shared" ref="H175:H183" si="26">IF(E175&gt;0,(100%-G175),"")</f>
        <v>0</v>
      </c>
      <c r="I175" s="265">
        <f t="shared" ref="I175:I183" si="27">IF(C175&gt;0,(H175*C175/G175),"")</f>
        <v>0</v>
      </c>
      <c r="J175" s="265">
        <f t="shared" ref="J175:J183" si="28">IF(C175&gt;0,(C175+I175),"")</f>
        <v>0.03</v>
      </c>
      <c r="K175" s="211">
        <f t="shared" ref="K175:K183" si="29">IF(D175&gt;0,(D175*J175),"")</f>
        <v>0.255</v>
      </c>
      <c r="L175" s="166"/>
      <c r="M175" s="167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 spans="1:26" ht="12.75" customHeight="1" x14ac:dyDescent="0.3">
      <c r="A176" s="167"/>
      <c r="B176" s="191" t="s">
        <v>345</v>
      </c>
      <c r="C176" s="262">
        <v>0.01</v>
      </c>
      <c r="D176" s="263">
        <f>IF(ISNA(VLOOKUP(B176,'Listado de Artículos'!$B$16:$F$1328,5,0)),0,(VLOOKUP(B176,'Listado de Artículos'!$B$16:$F$1328,5,0)))</f>
        <v>4.8499999999999996</v>
      </c>
      <c r="E176" s="262">
        <v>1</v>
      </c>
      <c r="F176" s="262">
        <v>1</v>
      </c>
      <c r="G176" s="264">
        <f t="shared" si="25"/>
        <v>1</v>
      </c>
      <c r="H176" s="264">
        <f t="shared" si="26"/>
        <v>0</v>
      </c>
      <c r="I176" s="265">
        <f t="shared" si="27"/>
        <v>0</v>
      </c>
      <c r="J176" s="265">
        <f t="shared" si="28"/>
        <v>0.01</v>
      </c>
      <c r="K176" s="211">
        <f t="shared" si="29"/>
        <v>4.8499999999999995E-2</v>
      </c>
      <c r="L176" s="166"/>
      <c r="M176" s="167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 spans="1:26" ht="12.75" customHeight="1" x14ac:dyDescent="0.3">
      <c r="A177" s="167"/>
      <c r="B177" s="177" t="s">
        <v>139</v>
      </c>
      <c r="C177" s="262">
        <v>5.0000000000000001E-3</v>
      </c>
      <c r="D177" s="263">
        <f>IF(ISNA(VLOOKUP(B177,'Listado de Artículos'!$B$16:$F$1328,5,0)),0,(VLOOKUP(B177,'Listado de Artículos'!$B$16:$F$1328,5,0)))</f>
        <v>4.8499999999999996</v>
      </c>
      <c r="E177" s="262">
        <v>1</v>
      </c>
      <c r="F177" s="262">
        <v>1</v>
      </c>
      <c r="G177" s="264">
        <f t="shared" si="25"/>
        <v>1</v>
      </c>
      <c r="H177" s="264">
        <f t="shared" si="26"/>
        <v>0</v>
      </c>
      <c r="I177" s="265">
        <f t="shared" si="27"/>
        <v>0</v>
      </c>
      <c r="J177" s="265">
        <f t="shared" si="28"/>
        <v>5.0000000000000001E-3</v>
      </c>
      <c r="K177" s="211">
        <f t="shared" si="29"/>
        <v>2.4249999999999997E-2</v>
      </c>
      <c r="L177" s="166"/>
      <c r="M177" s="167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 spans="1:26" ht="27" customHeight="1" x14ac:dyDescent="0.3">
      <c r="A178" s="167"/>
      <c r="B178" s="177" t="s">
        <v>196</v>
      </c>
      <c r="C178" s="262">
        <v>0.05</v>
      </c>
      <c r="D178" s="263">
        <f>IF(ISNA(VLOOKUP(B178,'Listado de Artículos'!$B$16:$F$1328,5,0)),0,(VLOOKUP(B178,'Listado de Artículos'!$B$16:$F$1328,5,0)))</f>
        <v>5.5</v>
      </c>
      <c r="E178" s="262">
        <v>1</v>
      </c>
      <c r="F178" s="262">
        <v>1</v>
      </c>
      <c r="G178" s="264">
        <f t="shared" si="25"/>
        <v>1</v>
      </c>
      <c r="H178" s="264">
        <f t="shared" si="26"/>
        <v>0</v>
      </c>
      <c r="I178" s="265">
        <f t="shared" si="27"/>
        <v>0</v>
      </c>
      <c r="J178" s="265">
        <f t="shared" si="28"/>
        <v>0.05</v>
      </c>
      <c r="K178" s="211">
        <f t="shared" si="29"/>
        <v>0.27500000000000002</v>
      </c>
      <c r="L178" s="195" t="s">
        <v>440</v>
      </c>
      <c r="M178" s="167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 spans="1:26" ht="12.75" customHeight="1" x14ac:dyDescent="0.3">
      <c r="A179" s="167"/>
      <c r="B179" s="177" t="s">
        <v>83</v>
      </c>
      <c r="C179" s="262">
        <v>1.4999999999999999E-2</v>
      </c>
      <c r="D179" s="263">
        <f>IF(ISNA(VLOOKUP(B179,'Listado de Artículos'!$B$16:$F$1328,5,0)),0,(VLOOKUP(B179,'Listado de Artículos'!$B$16:$F$1328,5,0)))</f>
        <v>18.989999999999998</v>
      </c>
      <c r="E179" s="262">
        <v>1</v>
      </c>
      <c r="F179" s="262">
        <v>1</v>
      </c>
      <c r="G179" s="264">
        <f t="shared" si="25"/>
        <v>1</v>
      </c>
      <c r="H179" s="264">
        <f t="shared" si="26"/>
        <v>0</v>
      </c>
      <c r="I179" s="265">
        <f t="shared" si="27"/>
        <v>0</v>
      </c>
      <c r="J179" s="265">
        <f t="shared" si="28"/>
        <v>1.4999999999999999E-2</v>
      </c>
      <c r="K179" s="211">
        <f t="shared" si="29"/>
        <v>0.28484999999999999</v>
      </c>
      <c r="L179" s="166"/>
      <c r="M179" s="167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 spans="1:26" ht="12.75" customHeight="1" x14ac:dyDescent="0.3">
      <c r="A180" s="167"/>
      <c r="B180" s="177" t="s">
        <v>360</v>
      </c>
      <c r="C180" s="262">
        <v>0.01</v>
      </c>
      <c r="D180" s="263">
        <f>IF(ISNA(VLOOKUP(B180,'Listado de Artículos'!$B$16:$F$1328,5,0)),0,(VLOOKUP(B180,'Listado de Artículos'!$B$16:$F$1328,5,0)))</f>
        <v>4.25</v>
      </c>
      <c r="E180" s="262">
        <v>1</v>
      </c>
      <c r="F180" s="262">
        <v>1</v>
      </c>
      <c r="G180" s="264">
        <f t="shared" si="25"/>
        <v>1</v>
      </c>
      <c r="H180" s="264">
        <f t="shared" si="26"/>
        <v>0</v>
      </c>
      <c r="I180" s="265">
        <f t="shared" si="27"/>
        <v>0</v>
      </c>
      <c r="J180" s="265">
        <f t="shared" si="28"/>
        <v>0.01</v>
      </c>
      <c r="K180" s="211">
        <f t="shared" si="29"/>
        <v>4.2500000000000003E-2</v>
      </c>
      <c r="L180" s="166"/>
      <c r="M180" s="167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 spans="1:26" ht="12.75" customHeight="1" x14ac:dyDescent="0.3">
      <c r="A181" s="167"/>
      <c r="B181" s="177" t="s">
        <v>235</v>
      </c>
      <c r="C181" s="262">
        <v>5.0000000000000001E-3</v>
      </c>
      <c r="D181" s="263">
        <f>IF(ISNA(VLOOKUP(B181,'Listado de Artículos'!$B$16:$F$1328,5,0)),0,(VLOOKUP(B181,'Listado de Artículos'!$B$16:$F$1328,5,0)))</f>
        <v>8.99</v>
      </c>
      <c r="E181" s="262">
        <v>1</v>
      </c>
      <c r="F181" s="262">
        <v>1</v>
      </c>
      <c r="G181" s="264">
        <f t="shared" si="25"/>
        <v>1</v>
      </c>
      <c r="H181" s="264">
        <f t="shared" si="26"/>
        <v>0</v>
      </c>
      <c r="I181" s="265">
        <f t="shared" si="27"/>
        <v>0</v>
      </c>
      <c r="J181" s="265">
        <f t="shared" si="28"/>
        <v>5.0000000000000001E-3</v>
      </c>
      <c r="K181" s="211">
        <f t="shared" si="29"/>
        <v>4.4950000000000004E-2</v>
      </c>
      <c r="L181" s="166"/>
      <c r="M181" s="167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 spans="1:26" ht="12.75" customHeight="1" x14ac:dyDescent="0.3">
      <c r="A182" s="167"/>
      <c r="B182" s="177" t="s">
        <v>356</v>
      </c>
      <c r="C182" s="262">
        <v>0.02</v>
      </c>
      <c r="D182" s="263">
        <f>IF(ISNA(VLOOKUP(B182,'Listado de Artículos'!$B$16:$F$1328,5,0)),0,(VLOOKUP(B182,'Listado de Artículos'!$B$16:$F$1328,5,0)))</f>
        <v>18.25</v>
      </c>
      <c r="E182" s="262">
        <v>1</v>
      </c>
      <c r="F182" s="262">
        <v>1</v>
      </c>
      <c r="G182" s="264">
        <f t="shared" si="25"/>
        <v>1</v>
      </c>
      <c r="H182" s="264">
        <f t="shared" si="26"/>
        <v>0</v>
      </c>
      <c r="I182" s="265">
        <f t="shared" si="27"/>
        <v>0</v>
      </c>
      <c r="J182" s="265">
        <f t="shared" si="28"/>
        <v>0.02</v>
      </c>
      <c r="K182" s="211">
        <f t="shared" si="29"/>
        <v>0.36499999999999999</v>
      </c>
      <c r="L182" s="166"/>
      <c r="M182" s="167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 spans="1:26" ht="12.75" customHeight="1" x14ac:dyDescent="0.3">
      <c r="A183" s="167"/>
      <c r="B183" s="177" t="s">
        <v>317</v>
      </c>
      <c r="C183" s="262">
        <v>3.0000000000000001E-3</v>
      </c>
      <c r="D183" s="263">
        <f>IF(ISNA(VLOOKUP(B183,'Listado de Artículos'!$B$16:$F$1328,5,0)),0,(VLOOKUP(B183,'Listado de Artículos'!$B$16:$F$1328,5,0)))</f>
        <v>5.78</v>
      </c>
      <c r="E183" s="262">
        <v>1</v>
      </c>
      <c r="F183" s="262">
        <v>1</v>
      </c>
      <c r="G183" s="264">
        <f t="shared" si="25"/>
        <v>1</v>
      </c>
      <c r="H183" s="264">
        <f t="shared" si="26"/>
        <v>0</v>
      </c>
      <c r="I183" s="265">
        <f t="shared" si="27"/>
        <v>0</v>
      </c>
      <c r="J183" s="265">
        <f t="shared" si="28"/>
        <v>3.0000000000000001E-3</v>
      </c>
      <c r="K183" s="211">
        <f t="shared" si="29"/>
        <v>1.7340000000000001E-2</v>
      </c>
      <c r="L183" s="166"/>
      <c r="M183" s="167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 spans="1:26" ht="12.75" customHeight="1" x14ac:dyDescent="0.3">
      <c r="A184" s="164"/>
      <c r="B184" s="165"/>
      <c r="C184" s="165"/>
      <c r="D184" s="165"/>
      <c r="E184" s="165"/>
      <c r="F184" s="165"/>
      <c r="G184" s="165"/>
      <c r="H184" s="165"/>
      <c r="I184" s="165"/>
      <c r="J184" s="165"/>
      <c r="K184" s="165"/>
      <c r="L184" s="164"/>
    </row>
    <row r="185" spans="1:26" ht="12.75" customHeight="1" x14ac:dyDescent="0.3">
      <c r="A185" s="167"/>
      <c r="B185" s="166"/>
      <c r="C185" s="303" t="s">
        <v>405</v>
      </c>
      <c r="D185" s="304"/>
      <c r="E185" s="304"/>
      <c r="F185" s="304"/>
      <c r="G185" s="304"/>
      <c r="H185" s="304"/>
      <c r="I185" s="304"/>
      <c r="J185" s="304"/>
      <c r="K185" s="305"/>
      <c r="L185" s="166"/>
      <c r="M185" s="167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</row>
    <row r="186" spans="1:26" ht="12.75" customHeight="1" x14ac:dyDescent="0.3">
      <c r="A186" s="167"/>
      <c r="B186" s="166"/>
      <c r="C186" s="316" t="s">
        <v>406</v>
      </c>
      <c r="D186" s="304"/>
      <c r="E186" s="304"/>
      <c r="F186" s="304"/>
      <c r="G186" s="304"/>
      <c r="H186" s="304"/>
      <c r="I186" s="304"/>
      <c r="J186" s="304"/>
      <c r="K186" s="305"/>
      <c r="L186" s="166"/>
      <c r="M186" s="167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 spans="1:26" ht="12.75" customHeight="1" x14ac:dyDescent="0.3">
      <c r="A187" s="167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7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 spans="1:26" ht="12.75" customHeight="1" x14ac:dyDescent="0.3">
      <c r="A188" s="167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7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 spans="1:26" ht="12.75" customHeight="1" x14ac:dyDescent="0.3">
      <c r="A189" s="167"/>
      <c r="B189" s="167"/>
      <c r="C189" s="168" t="s">
        <v>407</v>
      </c>
      <c r="D189" s="309" t="s">
        <v>441</v>
      </c>
      <c r="E189" s="310"/>
      <c r="F189" s="310"/>
      <c r="G189" s="310"/>
      <c r="H189" s="310"/>
      <c r="I189" s="310"/>
      <c r="J189" s="310"/>
      <c r="K189" s="310"/>
      <c r="L189" s="166"/>
      <c r="M189" s="167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</row>
    <row r="190" spans="1:26" ht="12.75" customHeight="1" x14ac:dyDescent="0.3">
      <c r="A190" s="169"/>
      <c r="B190" s="169"/>
      <c r="C190" s="170" t="s">
        <v>409</v>
      </c>
      <c r="D190" s="311"/>
      <c r="E190" s="312"/>
      <c r="F190" s="312"/>
      <c r="G190" s="313"/>
      <c r="H190" s="319"/>
      <c r="I190" s="315"/>
      <c r="J190" s="307"/>
      <c r="K190" s="308"/>
      <c r="L190" s="167"/>
      <c r="M190" s="167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 spans="1:26" ht="12.75" customHeight="1" x14ac:dyDescent="0.3">
      <c r="A191" s="167"/>
      <c r="B191" s="166"/>
      <c r="C191" s="171" t="s">
        <v>411</v>
      </c>
      <c r="D191" s="260">
        <v>1</v>
      </c>
      <c r="E191" s="317" t="s">
        <v>412</v>
      </c>
      <c r="F191" s="318"/>
      <c r="G191" s="172">
        <f>SUM(K194:K195)</f>
        <v>8.1733333333333338</v>
      </c>
      <c r="H191" s="314" t="s">
        <v>432</v>
      </c>
      <c r="I191" s="315"/>
      <c r="J191" s="261">
        <f>G191/D191</f>
        <v>8.1733333333333338</v>
      </c>
      <c r="K191" s="270"/>
      <c r="L191" s="166"/>
      <c r="M191" s="167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 spans="1:26" ht="12.75" customHeight="1" x14ac:dyDescent="0.3">
      <c r="A192" s="167"/>
      <c r="B192" s="174"/>
      <c r="C192" s="174"/>
      <c r="D192" s="174"/>
      <c r="E192" s="174"/>
      <c r="F192" s="174"/>
      <c r="G192" s="174"/>
      <c r="H192" s="174"/>
      <c r="I192" s="174"/>
      <c r="J192" s="166"/>
      <c r="K192" s="166"/>
      <c r="L192" s="166"/>
      <c r="M192" s="167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 spans="1:26" ht="12.75" customHeight="1" x14ac:dyDescent="0.3">
      <c r="A193" s="167"/>
      <c r="B193" s="175" t="s">
        <v>414</v>
      </c>
      <c r="C193" s="219" t="s">
        <v>415</v>
      </c>
      <c r="D193" s="219" t="s">
        <v>416</v>
      </c>
      <c r="E193" s="219" t="s">
        <v>417</v>
      </c>
      <c r="F193" s="219" t="s">
        <v>418</v>
      </c>
      <c r="G193" s="219" t="s">
        <v>419</v>
      </c>
      <c r="H193" s="219" t="s">
        <v>420</v>
      </c>
      <c r="I193" s="219" t="s">
        <v>421</v>
      </c>
      <c r="J193" s="219" t="s">
        <v>422</v>
      </c>
      <c r="K193" s="220" t="s">
        <v>423</v>
      </c>
      <c r="L193" s="166"/>
      <c r="M193" s="167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 spans="1:26" ht="12.75" customHeight="1" x14ac:dyDescent="0.3">
      <c r="A194" s="167"/>
      <c r="B194" s="192" t="s">
        <v>43</v>
      </c>
      <c r="C194" s="262">
        <v>0.8</v>
      </c>
      <c r="D194" s="263">
        <f>IF(ISNA(VLOOKUP(B194,'Listado de Artículos'!$B$16:$F$1328,5,0)),0,(VLOOKUP(B194,'Listado de Artículos'!$B$16:$F$1328,5,0)))</f>
        <v>8.9700000000000006</v>
      </c>
      <c r="E194" s="262">
        <v>1</v>
      </c>
      <c r="F194" s="262">
        <v>0.9</v>
      </c>
      <c r="G194" s="264">
        <f>IF(E194&gt;0,(F194/E194),"")</f>
        <v>0.9</v>
      </c>
      <c r="H194" s="264">
        <f>IF(E194&gt;0,(100%-G194),"")</f>
        <v>9.9999999999999978E-2</v>
      </c>
      <c r="I194" s="265">
        <f>IF(C194&gt;0,(H194*C194/G194),"")</f>
        <v>8.8888888888888878E-2</v>
      </c>
      <c r="J194" s="265">
        <f>IF(C194&gt;0,(C194+I194),"")</f>
        <v>0.88888888888888895</v>
      </c>
      <c r="K194" s="211">
        <f>IF(D194&gt;0,(D194*J194),"")</f>
        <v>7.9733333333333345</v>
      </c>
      <c r="L194" s="166"/>
      <c r="M194" s="167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 spans="1:26" ht="12.75" customHeight="1" x14ac:dyDescent="0.3">
      <c r="A195" s="167"/>
      <c r="B195" s="191" t="s">
        <v>355</v>
      </c>
      <c r="C195" s="262">
        <v>0.2</v>
      </c>
      <c r="D195" s="263">
        <f>IF(ISNA(VLOOKUP(B195,'Listado de Artículos'!$B$16:$F$1328,5,0)),0,(VLOOKUP(B195,'Listado de Artículos'!$B$16:$F$1328,5,0)))</f>
        <v>1</v>
      </c>
      <c r="E195" s="262">
        <v>1</v>
      </c>
      <c r="F195" s="262">
        <v>1</v>
      </c>
      <c r="G195" s="264">
        <f>IF(E195&gt;0,(F195/E195),"")</f>
        <v>1</v>
      </c>
      <c r="H195" s="264">
        <f>IF(E195&gt;0,(100%-G195),"")</f>
        <v>0</v>
      </c>
      <c r="I195" s="265">
        <f>IF(C195&gt;0,(H195*C195/G195),"")</f>
        <v>0</v>
      </c>
      <c r="J195" s="265">
        <f>IF(C195&gt;0,(C195+I195),"")</f>
        <v>0.2</v>
      </c>
      <c r="K195" s="211">
        <f>IF(D195&gt;0,(D195*J195),"")</f>
        <v>0.2</v>
      </c>
      <c r="L195" s="166"/>
      <c r="M195" s="167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 spans="1:26" ht="12.75" customHeight="1" x14ac:dyDescent="0.3">
      <c r="A196" s="164"/>
      <c r="B196" s="165"/>
      <c r="C196" s="165"/>
      <c r="D196" s="165"/>
      <c r="E196" s="165"/>
      <c r="F196" s="165"/>
      <c r="G196" s="165"/>
      <c r="H196" s="165"/>
      <c r="I196" s="165"/>
      <c r="J196" s="165"/>
      <c r="K196" s="165"/>
      <c r="L196" s="164"/>
    </row>
    <row r="197" spans="1:26" ht="12.75" customHeight="1" x14ac:dyDescent="0.3">
      <c r="A197" s="167"/>
      <c r="B197" s="166"/>
      <c r="C197" s="303" t="s">
        <v>405</v>
      </c>
      <c r="D197" s="304"/>
      <c r="E197" s="304"/>
      <c r="F197" s="304"/>
      <c r="G197" s="304"/>
      <c r="H197" s="304"/>
      <c r="I197" s="304"/>
      <c r="J197" s="304"/>
      <c r="K197" s="305"/>
      <c r="L197" s="166"/>
      <c r="M197" s="167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 spans="1:26" ht="12.75" customHeight="1" x14ac:dyDescent="0.3">
      <c r="A198" s="167"/>
      <c r="B198" s="166"/>
      <c r="C198" s="316" t="s">
        <v>406</v>
      </c>
      <c r="D198" s="304"/>
      <c r="E198" s="304"/>
      <c r="F198" s="304"/>
      <c r="G198" s="304"/>
      <c r="H198" s="304"/>
      <c r="I198" s="304"/>
      <c r="J198" s="304"/>
      <c r="K198" s="305"/>
      <c r="L198" s="166"/>
      <c r="M198" s="167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 spans="1:26" ht="12.75" customHeight="1" x14ac:dyDescent="0.3">
      <c r="A199" s="167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7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</row>
    <row r="200" spans="1:26" ht="12.75" customHeight="1" x14ac:dyDescent="0.3">
      <c r="A200" s="167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7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 spans="1:26" ht="12.75" customHeight="1" x14ac:dyDescent="0.3">
      <c r="A201" s="167"/>
      <c r="B201" s="167"/>
      <c r="C201" s="168" t="s">
        <v>407</v>
      </c>
      <c r="D201" s="309" t="s">
        <v>442</v>
      </c>
      <c r="E201" s="310"/>
      <c r="F201" s="310"/>
      <c r="G201" s="310"/>
      <c r="H201" s="310"/>
      <c r="I201" s="310"/>
      <c r="J201" s="310"/>
      <c r="K201" s="310"/>
      <c r="L201" s="166"/>
      <c r="M201" s="167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</row>
    <row r="202" spans="1:26" ht="12.75" customHeight="1" x14ac:dyDescent="0.3">
      <c r="A202" s="169"/>
      <c r="B202" s="169"/>
      <c r="C202" s="170" t="s">
        <v>409</v>
      </c>
      <c r="D202" s="311"/>
      <c r="E202" s="312"/>
      <c r="F202" s="312"/>
      <c r="G202" s="313"/>
      <c r="H202" s="319"/>
      <c r="I202" s="315"/>
      <c r="J202" s="307"/>
      <c r="K202" s="308"/>
      <c r="L202" s="167"/>
      <c r="M202" s="167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 spans="1:26" ht="12.75" customHeight="1" x14ac:dyDescent="0.3">
      <c r="A203" s="167"/>
      <c r="B203" s="166"/>
      <c r="C203" s="171" t="s">
        <v>411</v>
      </c>
      <c r="D203" s="260">
        <v>1</v>
      </c>
      <c r="E203" s="317" t="s">
        <v>412</v>
      </c>
      <c r="F203" s="318"/>
      <c r="G203" s="172">
        <f>SUM(K206:K209)</f>
        <v>0.75589999999999991</v>
      </c>
      <c r="H203" s="314" t="s">
        <v>432</v>
      </c>
      <c r="I203" s="315"/>
      <c r="J203" s="261">
        <f>G203/D203</f>
        <v>0.75589999999999991</v>
      </c>
      <c r="K203" s="270"/>
      <c r="L203" s="166"/>
      <c r="M203" s="167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 spans="1:26" ht="12.75" customHeight="1" x14ac:dyDescent="0.3">
      <c r="A204" s="167"/>
      <c r="B204" s="174"/>
      <c r="C204" s="174"/>
      <c r="D204" s="174"/>
      <c r="E204" s="174"/>
      <c r="F204" s="174"/>
      <c r="G204" s="174"/>
      <c r="H204" s="174"/>
      <c r="I204" s="174"/>
      <c r="J204" s="166"/>
      <c r="K204" s="166"/>
      <c r="L204" s="166"/>
      <c r="M204" s="167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 spans="1:26" ht="12.75" customHeight="1" x14ac:dyDescent="0.3">
      <c r="A205" s="167"/>
      <c r="B205" s="175" t="s">
        <v>414</v>
      </c>
      <c r="C205" s="219" t="s">
        <v>415</v>
      </c>
      <c r="D205" s="219" t="s">
        <v>416</v>
      </c>
      <c r="E205" s="219" t="s">
        <v>417</v>
      </c>
      <c r="F205" s="219" t="s">
        <v>418</v>
      </c>
      <c r="G205" s="219" t="s">
        <v>419</v>
      </c>
      <c r="H205" s="219" t="s">
        <v>420</v>
      </c>
      <c r="I205" s="219" t="s">
        <v>421</v>
      </c>
      <c r="J205" s="219" t="s">
        <v>422</v>
      </c>
      <c r="K205" s="220" t="s">
        <v>423</v>
      </c>
      <c r="L205" s="166"/>
      <c r="M205" s="167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 spans="1:26" ht="12.75" customHeight="1" x14ac:dyDescent="0.3">
      <c r="A206" s="167"/>
      <c r="B206" s="192" t="s">
        <v>341</v>
      </c>
      <c r="C206" s="262">
        <v>0.05</v>
      </c>
      <c r="D206" s="263">
        <f>IF(ISNA(VLOOKUP(B206,'Listado de Artículos'!$B$16:$F$1328,5,0)),0,(VLOOKUP(B206,'Listado de Artículos'!$B$16:$F$1328,5,0)))</f>
        <v>8.4499999999999993</v>
      </c>
      <c r="E206" s="262">
        <v>1</v>
      </c>
      <c r="F206" s="262">
        <v>1</v>
      </c>
      <c r="G206" s="264">
        <f>IF(E206&gt;0,(F206/E206),"")</f>
        <v>1</v>
      </c>
      <c r="H206" s="264">
        <f>IF(E206&gt;0,(100%-G206),"")</f>
        <v>0</v>
      </c>
      <c r="I206" s="265">
        <f>IF(C206&gt;0,(H206*C206/G206),"")</f>
        <v>0</v>
      </c>
      <c r="J206" s="265">
        <f>IF(C206&gt;0,(C206+I206),"")</f>
        <v>0.05</v>
      </c>
      <c r="K206" s="211">
        <f>IF(D206&gt;0,(D206*J206),"")</f>
        <v>0.42249999999999999</v>
      </c>
      <c r="L206" s="166"/>
      <c r="M206" s="167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 spans="1:26" ht="12.75" customHeight="1" x14ac:dyDescent="0.3">
      <c r="A207" s="167"/>
      <c r="B207" s="191" t="s">
        <v>57</v>
      </c>
      <c r="C207" s="262">
        <v>0.02</v>
      </c>
      <c r="D207" s="263">
        <f>IF(ISNA(VLOOKUP(B207,'Listado de Artículos'!$B$16:$F$1328,5,0)),0,(VLOOKUP(B207,'Listado de Artículos'!$B$16:$F$1328,5,0)))</f>
        <v>2</v>
      </c>
      <c r="E207" s="262">
        <v>1</v>
      </c>
      <c r="F207" s="262">
        <v>1</v>
      </c>
      <c r="G207" s="264">
        <f>IF(E207&gt;0,(F207/E207),"")</f>
        <v>1</v>
      </c>
      <c r="H207" s="264">
        <f>IF(E207&gt;0,(100%-G207),"")</f>
        <v>0</v>
      </c>
      <c r="I207" s="265">
        <f>IF(C207&gt;0,(H207*C207/G207),"")</f>
        <v>0</v>
      </c>
      <c r="J207" s="265">
        <f>IF(C207&gt;0,(C207+I207),"")</f>
        <v>0.02</v>
      </c>
      <c r="K207" s="211">
        <f>IF(D207&gt;0,(D207*J207),"")</f>
        <v>0.04</v>
      </c>
      <c r="L207" s="166"/>
      <c r="M207" s="167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 spans="1:26" ht="12.75" customHeight="1" x14ac:dyDescent="0.3">
      <c r="A208" s="167"/>
      <c r="B208" s="177" t="s">
        <v>43</v>
      </c>
      <c r="C208" s="262">
        <v>0.02</v>
      </c>
      <c r="D208" s="263">
        <f>IF(ISNA(VLOOKUP(B208,'Listado de Artículos'!$B$16:$F$1328,5,0)),0,(VLOOKUP(B208,'Listado de Artículos'!$B$16:$F$1328,5,0)))</f>
        <v>8.9700000000000006</v>
      </c>
      <c r="E208" s="262">
        <v>1</v>
      </c>
      <c r="F208" s="262">
        <v>1</v>
      </c>
      <c r="G208" s="264">
        <f>IF(E208&gt;0,(F208/E208),"")</f>
        <v>1</v>
      </c>
      <c r="H208" s="264">
        <f>IF(E208&gt;0,(100%-G208),"")</f>
        <v>0</v>
      </c>
      <c r="I208" s="265">
        <f>IF(C208&gt;0,(H208*C208/G208),"")</f>
        <v>0</v>
      </c>
      <c r="J208" s="265">
        <f>IF(C208&gt;0,(C208+I208),"")</f>
        <v>0.02</v>
      </c>
      <c r="K208" s="211">
        <f>IF(D208&gt;0,(D208*J208),"")</f>
        <v>0.1794</v>
      </c>
      <c r="L208" s="166"/>
      <c r="M208" s="167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 spans="1:26" ht="12.75" customHeight="1" x14ac:dyDescent="0.3">
      <c r="A209" s="167"/>
      <c r="B209" s="177" t="s">
        <v>272</v>
      </c>
      <c r="C209" s="262">
        <v>0.04</v>
      </c>
      <c r="D209" s="263">
        <f>IF(ISNA(VLOOKUP(B209,'Listado de Artículos'!$B$16:$F$1328,5,0)),0,(VLOOKUP(B209,'Listado de Artículos'!$B$16:$F$1328,5,0)))</f>
        <v>2.85</v>
      </c>
      <c r="E209" s="262">
        <v>1</v>
      </c>
      <c r="F209" s="262">
        <v>1</v>
      </c>
      <c r="G209" s="264">
        <f>IF(E209&gt;0,(F209/E209),"")</f>
        <v>1</v>
      </c>
      <c r="H209" s="264">
        <f>IF(E209&gt;0,(100%-G209),"")</f>
        <v>0</v>
      </c>
      <c r="I209" s="265">
        <f>IF(C209&gt;0,(H209*C209/G209),"")</f>
        <v>0</v>
      </c>
      <c r="J209" s="265">
        <f>IF(C209&gt;0,(C209+I209),"")</f>
        <v>0.04</v>
      </c>
      <c r="K209" s="211">
        <f>IF(D209&gt;0,(D209*J209),"")</f>
        <v>0.114</v>
      </c>
      <c r="L209" s="166"/>
      <c r="M209" s="167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 spans="1:26" ht="12.75" customHeight="1" x14ac:dyDescent="0.3">
      <c r="A210" s="164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164"/>
    </row>
    <row r="211" spans="1:26" ht="12.75" customHeight="1" x14ac:dyDescent="0.3">
      <c r="A211" s="167"/>
      <c r="B211" s="166"/>
      <c r="C211" s="303" t="s">
        <v>405</v>
      </c>
      <c r="D211" s="304"/>
      <c r="E211" s="304"/>
      <c r="F211" s="304"/>
      <c r="G211" s="304"/>
      <c r="H211" s="304"/>
      <c r="I211" s="304"/>
      <c r="J211" s="304"/>
      <c r="K211" s="305"/>
      <c r="L211" s="166"/>
      <c r="M211" s="167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 spans="1:26" ht="12.75" customHeight="1" x14ac:dyDescent="0.3">
      <c r="A212" s="167"/>
      <c r="B212" s="166"/>
      <c r="C212" s="316" t="s">
        <v>406</v>
      </c>
      <c r="D212" s="304"/>
      <c r="E212" s="304"/>
      <c r="F212" s="304"/>
      <c r="G212" s="304"/>
      <c r="H212" s="304"/>
      <c r="I212" s="304"/>
      <c r="J212" s="304"/>
      <c r="K212" s="305"/>
      <c r="L212" s="166"/>
      <c r="M212" s="167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 spans="1:26" ht="12.75" customHeight="1" x14ac:dyDescent="0.3">
      <c r="A213" s="167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7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 spans="1:26" ht="12.75" customHeight="1" x14ac:dyDescent="0.3">
      <c r="A214" s="167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7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</row>
    <row r="215" spans="1:26" ht="12.75" customHeight="1" x14ac:dyDescent="0.3">
      <c r="A215" s="167"/>
      <c r="B215" s="167"/>
      <c r="C215" s="168" t="s">
        <v>407</v>
      </c>
      <c r="D215" s="309"/>
      <c r="E215" s="310"/>
      <c r="F215" s="310"/>
      <c r="G215" s="310"/>
      <c r="H215" s="310"/>
      <c r="I215" s="310"/>
      <c r="J215" s="310"/>
      <c r="K215" s="310"/>
      <c r="L215" s="166"/>
      <c r="M215" s="167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</row>
    <row r="216" spans="1:26" ht="12.75" customHeight="1" x14ac:dyDescent="0.3">
      <c r="A216" s="169"/>
      <c r="B216" s="169"/>
      <c r="C216" s="170" t="s">
        <v>409</v>
      </c>
      <c r="D216" s="311"/>
      <c r="E216" s="312"/>
      <c r="F216" s="312"/>
      <c r="G216" s="313"/>
      <c r="H216" s="319"/>
      <c r="I216" s="315"/>
      <c r="J216" s="307"/>
      <c r="K216" s="308"/>
      <c r="L216" s="167"/>
      <c r="M216" s="167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</row>
    <row r="217" spans="1:26" ht="12.75" customHeight="1" x14ac:dyDescent="0.3">
      <c r="A217" s="167"/>
      <c r="B217" s="166"/>
      <c r="C217" s="171" t="s">
        <v>411</v>
      </c>
      <c r="D217" s="260">
        <v>1</v>
      </c>
      <c r="E217" s="317" t="s">
        <v>412</v>
      </c>
      <c r="F217" s="318"/>
      <c r="G217" s="172">
        <f>SUM(K220:K223)</f>
        <v>0.75589999999999991</v>
      </c>
      <c r="H217" s="314" t="s">
        <v>432</v>
      </c>
      <c r="I217" s="315"/>
      <c r="J217" s="261">
        <f>G217/D217</f>
        <v>0.75589999999999991</v>
      </c>
      <c r="K217" s="270"/>
      <c r="L217" s="166"/>
      <c r="M217" s="167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</row>
    <row r="218" spans="1:26" ht="12.75" customHeight="1" x14ac:dyDescent="0.3">
      <c r="A218" s="167"/>
      <c r="B218" s="174"/>
      <c r="C218" s="174"/>
      <c r="D218" s="174"/>
      <c r="E218" s="174"/>
      <c r="F218" s="174"/>
      <c r="G218" s="174"/>
      <c r="H218" s="174"/>
      <c r="I218" s="174"/>
      <c r="J218" s="166"/>
      <c r="K218" s="166"/>
      <c r="L218" s="166"/>
      <c r="M218" s="167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</row>
    <row r="219" spans="1:26" ht="12.75" customHeight="1" x14ac:dyDescent="0.3">
      <c r="A219" s="167"/>
      <c r="B219" s="175" t="s">
        <v>414</v>
      </c>
      <c r="C219" s="219" t="s">
        <v>415</v>
      </c>
      <c r="D219" s="219" t="s">
        <v>416</v>
      </c>
      <c r="E219" s="219" t="s">
        <v>417</v>
      </c>
      <c r="F219" s="219" t="s">
        <v>418</v>
      </c>
      <c r="G219" s="219" t="s">
        <v>419</v>
      </c>
      <c r="H219" s="219" t="s">
        <v>420</v>
      </c>
      <c r="I219" s="219" t="s">
        <v>421</v>
      </c>
      <c r="J219" s="219" t="s">
        <v>422</v>
      </c>
      <c r="K219" s="220" t="s">
        <v>423</v>
      </c>
      <c r="L219" s="166"/>
      <c r="M219" s="167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</row>
    <row r="220" spans="1:26" ht="12.75" customHeight="1" x14ac:dyDescent="0.3">
      <c r="A220" s="167"/>
      <c r="B220" s="192" t="s">
        <v>341</v>
      </c>
      <c r="C220" s="262">
        <v>0.05</v>
      </c>
      <c r="D220" s="263">
        <f>IF(ISNA(VLOOKUP(B220,'Listado de Artículos'!$B$16:$F$1328,5,0)),0,(VLOOKUP(B220,'Listado de Artículos'!$B$16:$F$1328,5,0)))</f>
        <v>8.4499999999999993</v>
      </c>
      <c r="E220" s="262">
        <v>1</v>
      </c>
      <c r="F220" s="262">
        <v>1</v>
      </c>
      <c r="G220" s="264">
        <f>IF(E220&gt;0,(F220/E220),"")</f>
        <v>1</v>
      </c>
      <c r="H220" s="264">
        <f>IF(E220&gt;0,(100%-G220),"")</f>
        <v>0</v>
      </c>
      <c r="I220" s="265">
        <f>IF(C220&gt;0,(H220*C220/G220),"")</f>
        <v>0</v>
      </c>
      <c r="J220" s="265">
        <f>IF(C220&gt;0,(C220+I220),"")</f>
        <v>0.05</v>
      </c>
      <c r="K220" s="211">
        <f>IF(D220&gt;0,(D220*J220),"")</f>
        <v>0.42249999999999999</v>
      </c>
      <c r="L220" s="166"/>
      <c r="M220" s="167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</row>
    <row r="221" spans="1:26" ht="12.75" customHeight="1" x14ac:dyDescent="0.3">
      <c r="A221" s="167"/>
      <c r="B221" s="191" t="s">
        <v>57</v>
      </c>
      <c r="C221" s="262">
        <v>0.02</v>
      </c>
      <c r="D221" s="263">
        <f>IF(ISNA(VLOOKUP(B221,'Listado de Artículos'!$B$16:$F$1328,5,0)),0,(VLOOKUP(B221,'Listado de Artículos'!$B$16:$F$1328,5,0)))</f>
        <v>2</v>
      </c>
      <c r="E221" s="262">
        <v>1</v>
      </c>
      <c r="F221" s="262">
        <v>1</v>
      </c>
      <c r="G221" s="264">
        <f>IF(E221&gt;0,(F221/E221),"")</f>
        <v>1</v>
      </c>
      <c r="H221" s="264">
        <f>IF(E221&gt;0,(100%-G221),"")</f>
        <v>0</v>
      </c>
      <c r="I221" s="265">
        <f>IF(C221&gt;0,(H221*C221/G221),"")</f>
        <v>0</v>
      </c>
      <c r="J221" s="265">
        <f>IF(C221&gt;0,(C221+I221),"")</f>
        <v>0.02</v>
      </c>
      <c r="K221" s="211">
        <f>IF(D221&gt;0,(D221*J221),"")</f>
        <v>0.04</v>
      </c>
      <c r="L221" s="166"/>
      <c r="M221" s="167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</row>
    <row r="222" spans="1:26" ht="12.75" customHeight="1" x14ac:dyDescent="0.3">
      <c r="A222" s="167"/>
      <c r="B222" s="177" t="s">
        <v>43</v>
      </c>
      <c r="C222" s="262">
        <v>0.02</v>
      </c>
      <c r="D222" s="263">
        <f>IF(ISNA(VLOOKUP(B222,'Listado de Artículos'!$B$16:$F$1328,5,0)),0,(VLOOKUP(B222,'Listado de Artículos'!$B$16:$F$1328,5,0)))</f>
        <v>8.9700000000000006</v>
      </c>
      <c r="E222" s="262">
        <v>1</v>
      </c>
      <c r="F222" s="262">
        <v>1</v>
      </c>
      <c r="G222" s="264">
        <f>IF(E222&gt;0,(F222/E222),"")</f>
        <v>1</v>
      </c>
      <c r="H222" s="264">
        <f>IF(E222&gt;0,(100%-G222),"")</f>
        <v>0</v>
      </c>
      <c r="I222" s="265">
        <f>IF(C222&gt;0,(H222*C222/G222),"")</f>
        <v>0</v>
      </c>
      <c r="J222" s="265">
        <f>IF(C222&gt;0,(C222+I222),"")</f>
        <v>0.02</v>
      </c>
      <c r="K222" s="211">
        <f>IF(D222&gt;0,(D222*J222),"")</f>
        <v>0.1794</v>
      </c>
      <c r="L222" s="166"/>
      <c r="M222" s="167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</row>
    <row r="223" spans="1:26" ht="12.75" customHeight="1" x14ac:dyDescent="0.3">
      <c r="A223" s="167"/>
      <c r="B223" s="177" t="s">
        <v>272</v>
      </c>
      <c r="C223" s="262">
        <v>0.04</v>
      </c>
      <c r="D223" s="263">
        <f>IF(ISNA(VLOOKUP(B223,'Listado de Artículos'!$B$16:$F$1328,5,0)),0,(VLOOKUP(B223,'Listado de Artículos'!$B$16:$F$1328,5,0)))</f>
        <v>2.85</v>
      </c>
      <c r="E223" s="262">
        <v>1</v>
      </c>
      <c r="F223" s="262">
        <v>1</v>
      </c>
      <c r="G223" s="264">
        <f>IF(E223&gt;0,(F223/E223),"")</f>
        <v>1</v>
      </c>
      <c r="H223" s="264">
        <f>IF(E223&gt;0,(100%-G223),"")</f>
        <v>0</v>
      </c>
      <c r="I223" s="265">
        <f>IF(C223&gt;0,(H223*C223/G223),"")</f>
        <v>0</v>
      </c>
      <c r="J223" s="265">
        <f>IF(C223&gt;0,(C223+I223),"")</f>
        <v>0.04</v>
      </c>
      <c r="K223" s="211">
        <f>IF(D223&gt;0,(D223*J223),"")</f>
        <v>0.114</v>
      </c>
      <c r="L223" s="166"/>
      <c r="M223" s="167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</row>
    <row r="224" spans="1:26" ht="21.75" customHeight="1" x14ac:dyDescent="0.3">
      <c r="A224" s="167"/>
      <c r="B224" s="174"/>
      <c r="C224" s="306"/>
      <c r="D224" s="304"/>
      <c r="E224" s="304"/>
      <c r="F224" s="304"/>
      <c r="G224" s="304"/>
      <c r="H224" s="304"/>
      <c r="I224" s="304"/>
      <c r="J224" s="166"/>
      <c r="K224" s="166"/>
      <c r="L224" s="166"/>
      <c r="M224" s="167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</row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17">
    <mergeCell ref="C81:K81"/>
    <mergeCell ref="H116:I116"/>
    <mergeCell ref="C4:K4"/>
    <mergeCell ref="D156:G156"/>
    <mergeCell ref="D216:G216"/>
    <mergeCell ref="H25:I25"/>
    <mergeCell ref="J8:K8"/>
    <mergeCell ref="H157:I157"/>
    <mergeCell ref="J216:K216"/>
    <mergeCell ref="H190:I190"/>
    <mergeCell ref="C80:K80"/>
    <mergeCell ref="D84:K84"/>
    <mergeCell ref="D190:G190"/>
    <mergeCell ref="D69:G69"/>
    <mergeCell ref="C167:K167"/>
    <mergeCell ref="C186:K186"/>
    <mergeCell ref="C197:K197"/>
    <mergeCell ref="D101:G101"/>
    <mergeCell ref="H8:I8"/>
    <mergeCell ref="J171:K171"/>
    <mergeCell ref="H135:I135"/>
    <mergeCell ref="E203:F203"/>
    <mergeCell ref="D8:G8"/>
    <mergeCell ref="D116:G116"/>
    <mergeCell ref="C96:K96"/>
    <mergeCell ref="H117:I117"/>
    <mergeCell ref="C48:I48"/>
    <mergeCell ref="H55:I55"/>
    <mergeCell ref="C185:K185"/>
    <mergeCell ref="H85:I85"/>
    <mergeCell ref="H9:I9"/>
    <mergeCell ref="C129:K129"/>
    <mergeCell ref="D171:G171"/>
    <mergeCell ref="C151:K151"/>
    <mergeCell ref="E86:F86"/>
    <mergeCell ref="J116:K116"/>
    <mergeCell ref="C64:K64"/>
    <mergeCell ref="H134:I134"/>
    <mergeCell ref="C19:K19"/>
    <mergeCell ref="H191:I191"/>
    <mergeCell ref="H172:I172"/>
    <mergeCell ref="H102:I102"/>
    <mergeCell ref="D133:K133"/>
    <mergeCell ref="D23:K23"/>
    <mergeCell ref="J101:K101"/>
    <mergeCell ref="C224:I224"/>
    <mergeCell ref="E172:F172"/>
    <mergeCell ref="E191:F191"/>
    <mergeCell ref="H217:I217"/>
    <mergeCell ref="D55:G55"/>
    <mergeCell ref="H56:I56"/>
    <mergeCell ref="C3:K3"/>
    <mergeCell ref="D85:G85"/>
    <mergeCell ref="E102:F102"/>
    <mergeCell ref="E157:F157"/>
    <mergeCell ref="D7:K7"/>
    <mergeCell ref="J134:K134"/>
    <mergeCell ref="H202:I202"/>
    <mergeCell ref="C20:K20"/>
    <mergeCell ref="C198:K198"/>
    <mergeCell ref="H38:I38"/>
    <mergeCell ref="J24:K24"/>
    <mergeCell ref="D100:K100"/>
    <mergeCell ref="C166:K166"/>
    <mergeCell ref="C32:K32"/>
    <mergeCell ref="C51:K51"/>
    <mergeCell ref="D68:K68"/>
    <mergeCell ref="E135:F135"/>
    <mergeCell ref="H24:I24"/>
    <mergeCell ref="H216:I216"/>
    <mergeCell ref="E217:F217"/>
    <mergeCell ref="C50:K50"/>
    <mergeCell ref="E9:F9"/>
    <mergeCell ref="J37:K37"/>
    <mergeCell ref="C212:K212"/>
    <mergeCell ref="C62:I62"/>
    <mergeCell ref="D54:K54"/>
    <mergeCell ref="H69:I69"/>
    <mergeCell ref="D134:G134"/>
    <mergeCell ref="H37:I37"/>
    <mergeCell ref="C211:K211"/>
    <mergeCell ref="C30:I30"/>
    <mergeCell ref="C33:K33"/>
    <mergeCell ref="D115:K115"/>
    <mergeCell ref="D36:K36"/>
    <mergeCell ref="E38:F38"/>
    <mergeCell ref="D24:G24"/>
    <mergeCell ref="D202:G202"/>
    <mergeCell ref="D170:K170"/>
    <mergeCell ref="D189:K189"/>
    <mergeCell ref="J202:K202"/>
    <mergeCell ref="C111:K111"/>
    <mergeCell ref="D155:K155"/>
    <mergeCell ref="D201:K201"/>
    <mergeCell ref="J69:K69"/>
    <mergeCell ref="C152:K152"/>
    <mergeCell ref="J190:K190"/>
    <mergeCell ref="H203:I203"/>
    <mergeCell ref="C15:I15"/>
    <mergeCell ref="D215:K215"/>
    <mergeCell ref="J156:K156"/>
    <mergeCell ref="C112:K112"/>
    <mergeCell ref="E56:F56"/>
    <mergeCell ref="H171:I171"/>
    <mergeCell ref="H101:I101"/>
    <mergeCell ref="C97:K97"/>
    <mergeCell ref="H86:I86"/>
    <mergeCell ref="E70:F70"/>
    <mergeCell ref="H156:I156"/>
    <mergeCell ref="C65:K65"/>
    <mergeCell ref="D37:G37"/>
    <mergeCell ref="E117:F117"/>
    <mergeCell ref="C130:K130"/>
    <mergeCell ref="E25:F25"/>
    <mergeCell ref="J55:K55"/>
    <mergeCell ref="H70:I70"/>
    <mergeCell ref="J85:K85"/>
  </mergeCells>
  <dataValidations count="1">
    <dataValidation type="list" allowBlank="1" showErrorMessage="1" sqref="B12:B14 B28:B29 B41:B47 B59:B61 B73:B78 B89:B94 B105:B109 B120:B126 B138:B149 B160:B164 B175:B183 B194:B195 B206:B209 B220:B223">
      <formula1>Articulo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1000"/>
  <sheetViews>
    <sheetView workbookViewId="0"/>
  </sheetViews>
  <sheetFormatPr baseColWidth="10" defaultColWidth="12.6640625" defaultRowHeight="15" customHeight="1" x14ac:dyDescent="0.25"/>
  <cols>
    <col min="1" max="1" width="90.6640625" style="302" customWidth="1"/>
    <col min="2" max="2" width="54" style="302" customWidth="1"/>
    <col min="3" max="5" width="11.33203125" style="302" customWidth="1"/>
    <col min="6" max="6" width="12.21875" style="302" customWidth="1"/>
    <col min="7" max="7" width="14.21875" style="302" customWidth="1"/>
    <col min="8" max="12" width="11.33203125" style="302" customWidth="1"/>
    <col min="13" max="26" width="8.6640625" style="302" customWidth="1"/>
  </cols>
  <sheetData>
    <row r="1" spans="1:12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12" ht="12.75" customHeight="1" x14ac:dyDescent="0.25">
      <c r="A2" s="322" t="s">
        <v>471</v>
      </c>
      <c r="B2" s="323"/>
      <c r="C2" s="323"/>
      <c r="D2" s="323"/>
      <c r="E2" s="323"/>
      <c r="F2" s="324"/>
    </row>
    <row r="3" spans="1:12" ht="12.75" customHeight="1" x14ac:dyDescent="0.25">
      <c r="A3" s="325"/>
      <c r="B3" s="326"/>
      <c r="C3" s="326"/>
      <c r="D3" s="326"/>
      <c r="E3" s="326"/>
      <c r="F3" s="327"/>
    </row>
    <row r="4" spans="1:12" ht="12.75" customHeight="1" x14ac:dyDescent="0.3">
      <c r="A4" s="196" t="s">
        <v>444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2" ht="12.75" customHeight="1" x14ac:dyDescent="0.3">
      <c r="A5" s="198" t="s">
        <v>449</v>
      </c>
      <c r="B5" s="279" t="s">
        <v>450</v>
      </c>
      <c r="C5" s="280" t="s">
        <v>451</v>
      </c>
      <c r="D5" s="199" t="s">
        <v>452</v>
      </c>
      <c r="E5" s="281"/>
    </row>
    <row r="6" spans="1:12" ht="12.75" customHeight="1" x14ac:dyDescent="0.3">
      <c r="A6" s="204" t="s">
        <v>76</v>
      </c>
      <c r="B6" s="262">
        <v>1</v>
      </c>
      <c r="C6" s="263">
        <f>IF(ISNA(VLOOKUP(A6,'Listado de Artículos'!$B$16:$F$1328,5,0)),0,(VLOOKUP(A6,'Listado de Artículos'!$B$16:$F$1328,5,0)))</f>
        <v>0.44</v>
      </c>
      <c r="D6" s="211">
        <f>B6*C6</f>
        <v>0.44</v>
      </c>
      <c r="E6" s="281"/>
    </row>
    <row r="7" spans="1:12" ht="12.75" customHeight="1" x14ac:dyDescent="0.3">
      <c r="A7" s="204" t="s">
        <v>229</v>
      </c>
      <c r="B7" s="262">
        <v>1</v>
      </c>
      <c r="C7" s="263">
        <f>IF(ISNA(VLOOKUP(A7,'Listado de Artículos'!$B$16:$F$1328,5,0)),0,(VLOOKUP(A7,'Listado de Artículos'!$B$16:$F$1328,5,0)))</f>
        <v>0.47</v>
      </c>
      <c r="D7" s="211">
        <f>B7*C7</f>
        <v>0.47</v>
      </c>
      <c r="E7" s="281"/>
    </row>
    <row r="8" spans="1:12" ht="12.75" customHeight="1" x14ac:dyDescent="0.3">
      <c r="A8" s="204" t="s">
        <v>48</v>
      </c>
      <c r="B8" s="262">
        <v>0.25</v>
      </c>
      <c r="C8" s="263">
        <f>IF(ISNA(VLOOKUP(A8,'Listado de Artículos'!$B$16:$F$1328,5,0)),0,(VLOOKUP(A8,'Listado de Artículos'!$B$16:$F$1328,5,0)))</f>
        <v>0.8</v>
      </c>
      <c r="D8" s="211">
        <f>B8*C8</f>
        <v>0.2</v>
      </c>
      <c r="E8" s="281"/>
    </row>
    <row r="9" spans="1:12" ht="12.75" customHeight="1" x14ac:dyDescent="0.3">
      <c r="A9" s="204" t="s">
        <v>331</v>
      </c>
      <c r="B9" s="271">
        <v>0.35</v>
      </c>
      <c r="C9" s="272">
        <v>2.38</v>
      </c>
      <c r="D9" s="181">
        <f>B9*C9</f>
        <v>0.83299999999999996</v>
      </c>
      <c r="E9" s="282"/>
    </row>
    <row r="10" spans="1:12" ht="12.75" customHeight="1" x14ac:dyDescent="0.3">
      <c r="A10" s="200" t="s">
        <v>472</v>
      </c>
      <c r="B10" s="201"/>
      <c r="C10" s="202"/>
      <c r="D10" s="202"/>
      <c r="E10" s="203"/>
    </row>
    <row r="11" spans="1:12" ht="12.75" customHeight="1" x14ac:dyDescent="0.3">
      <c r="A11" s="204" t="s">
        <v>119</v>
      </c>
      <c r="B11" s="290">
        <v>15</v>
      </c>
      <c r="C11" s="291">
        <f>IF(ISNA(VLOOKUP(A11,'Listado de Artículos'!$B$16:$F$1328,5,0)),0,(VLOOKUP(A11,'Listado de Artículos'!$B$16:$F$1328,5,0)))</f>
        <v>0.16</v>
      </c>
      <c r="D11" s="210">
        <f>B11*C11</f>
        <v>2.4</v>
      </c>
      <c r="E11" s="292"/>
    </row>
    <row r="12" spans="1:12" ht="12.75" customHeight="1" x14ac:dyDescent="0.3">
      <c r="A12" s="204" t="s">
        <v>324</v>
      </c>
      <c r="B12" s="262">
        <v>0.125</v>
      </c>
      <c r="C12" s="263">
        <f>IF(ISNA(VLOOKUP(A12,'Listado de Artículos'!$B$16:$F$1328,5,0)),0,(VLOOKUP(A12,'Listado de Artículos'!$B$16:$F$1328,5,0)))</f>
        <v>2.94</v>
      </c>
      <c r="D12" s="211">
        <f>B12*C12</f>
        <v>0.36749999999999999</v>
      </c>
      <c r="E12" s="281"/>
    </row>
    <row r="13" spans="1:12" ht="12.75" customHeight="1" x14ac:dyDescent="0.3">
      <c r="A13" s="200" t="s">
        <v>453</v>
      </c>
      <c r="B13" s="201"/>
      <c r="C13" s="202"/>
      <c r="D13" s="202"/>
      <c r="E13" s="203"/>
    </row>
    <row r="14" spans="1:12" ht="12.75" customHeight="1" x14ac:dyDescent="0.3">
      <c r="A14" s="204" t="s">
        <v>175</v>
      </c>
      <c r="B14" s="262">
        <v>1</v>
      </c>
      <c r="C14" s="263">
        <f>IF(ISNA(VLOOKUP(A14,'Listado de Artículos'!$B$16:$F$1328,5,0)),0,(VLOOKUP(A14,'Listado de Artículos'!$B$16:$F$1328,5,0)))</f>
        <v>0.7</v>
      </c>
      <c r="D14" s="211">
        <f>B14*C14</f>
        <v>0.7</v>
      </c>
      <c r="E14" s="281"/>
    </row>
    <row r="15" spans="1:12" ht="12.75" customHeight="1" x14ac:dyDescent="0.3">
      <c r="A15" s="204" t="s">
        <v>230</v>
      </c>
      <c r="B15" s="262">
        <v>1</v>
      </c>
      <c r="C15" s="263">
        <f>IF(ISNA(VLOOKUP(A15,'Listado de Artículos'!$B$16:$F$1328,5,0)),0,(VLOOKUP(A15,'Listado de Artículos'!$B$16:$F$1328,5,0)))</f>
        <v>0.54</v>
      </c>
      <c r="D15" s="211">
        <f>B15*C15</f>
        <v>0.54</v>
      </c>
      <c r="E15" s="281"/>
    </row>
    <row r="16" spans="1:12" ht="12.75" customHeight="1" x14ac:dyDescent="0.3">
      <c r="A16" s="204" t="s">
        <v>223</v>
      </c>
      <c r="B16" s="262">
        <v>1</v>
      </c>
      <c r="C16" s="263">
        <f>IF(ISNA(VLOOKUP(A16,'Listado de Artículos'!$B$16:$F$1328,5,0)),0,(VLOOKUP(A16,'Listado de Artículos'!$B$16:$F$1328,5,0)))</f>
        <v>0.84</v>
      </c>
      <c r="D16" s="211">
        <f>B16*C16</f>
        <v>0.84</v>
      </c>
      <c r="E16" s="281"/>
    </row>
    <row r="17" spans="1:8" ht="12.75" customHeight="1" x14ac:dyDescent="0.3">
      <c r="A17" s="204" t="s">
        <v>320</v>
      </c>
      <c r="B17" s="262">
        <v>0.03</v>
      </c>
      <c r="C17" s="263">
        <f>IF(ISNA(VLOOKUP(A17,'Listado de Artículos'!$B$16:$F$1328,5,0)),0,(VLOOKUP(A17,'Listado de Artículos'!$B$16:$F$1328,5,0)))</f>
        <v>3.85</v>
      </c>
      <c r="D17" s="211">
        <f>B17*C17</f>
        <v>0.11549999999999999</v>
      </c>
      <c r="E17" s="281"/>
    </row>
    <row r="18" spans="1:8" ht="12.75" customHeight="1" x14ac:dyDescent="0.3">
      <c r="A18" s="200" t="s">
        <v>473</v>
      </c>
      <c r="B18" s="201"/>
      <c r="C18" s="202"/>
      <c r="D18" s="202"/>
      <c r="E18" s="203"/>
    </row>
    <row r="19" spans="1:8" ht="12.75" customHeight="1" x14ac:dyDescent="0.3">
      <c r="A19" s="204" t="s">
        <v>225</v>
      </c>
      <c r="B19" s="262">
        <v>1</v>
      </c>
      <c r="C19" s="263">
        <f>IF(ISNA(VLOOKUP(A19,'Listado de Artículos'!$B$16:$F$1328,5,0)),0,(VLOOKUP(A19,'Listado de Artículos'!$B$16:$F$1328,5,0)))</f>
        <v>2.8824000000000005</v>
      </c>
      <c r="D19" s="211">
        <f>B19*C19</f>
        <v>2.8824000000000005</v>
      </c>
      <c r="E19" s="281"/>
    </row>
    <row r="20" spans="1:8" ht="12.75" customHeight="1" x14ac:dyDescent="0.3">
      <c r="A20" s="204" t="s">
        <v>226</v>
      </c>
      <c r="B20" s="262">
        <v>1</v>
      </c>
      <c r="C20" s="263">
        <f>IF(ISNA(VLOOKUP(A20,'Listado de Artículos'!$B$16:$F$1328,5,0)),0,(VLOOKUP(A20,'Listado de Artículos'!$B$16:$F$1328,5,0)))</f>
        <v>0.96</v>
      </c>
      <c r="D20" s="211">
        <f>B20*C20</f>
        <v>0.96</v>
      </c>
      <c r="E20" s="281"/>
    </row>
    <row r="21" spans="1:8" ht="12.75" customHeight="1" x14ac:dyDescent="0.3">
      <c r="A21" s="200" t="s">
        <v>454</v>
      </c>
      <c r="B21" s="201"/>
      <c r="C21" s="202"/>
      <c r="D21" s="202"/>
      <c r="E21" s="203"/>
    </row>
    <row r="22" spans="1:8" ht="12.75" customHeight="1" x14ac:dyDescent="0.3">
      <c r="A22" s="204" t="s">
        <v>179</v>
      </c>
      <c r="B22" s="262">
        <v>1</v>
      </c>
      <c r="C22" s="263">
        <f>IF(ISNA(VLOOKUP(A22,'Listado de Artículos'!$B$16:$F$1328,5,0)),0,(VLOOKUP(A22,'Listado de Artículos'!$B$16:$F$1328,5,0)))</f>
        <v>0.5</v>
      </c>
      <c r="D22" s="211">
        <f>B22*C22</f>
        <v>0.5</v>
      </c>
      <c r="E22" s="281"/>
    </row>
    <row r="23" spans="1:8" ht="12.75" customHeight="1" x14ac:dyDescent="0.3">
      <c r="A23" s="204" t="s">
        <v>228</v>
      </c>
      <c r="B23" s="262">
        <v>1</v>
      </c>
      <c r="C23" s="263">
        <f>IF(ISNA(VLOOKUP(A23,'Listado de Artículos'!$B$16:$F$1328,5,0)),0,(VLOOKUP(A23,'Listado de Artículos'!$B$16:$F$1328,5,0)))</f>
        <v>0.37</v>
      </c>
      <c r="D23" s="211">
        <f>B23*C23</f>
        <v>0.37</v>
      </c>
      <c r="E23" s="281"/>
    </row>
    <row r="24" spans="1:8" ht="12.75" customHeight="1" x14ac:dyDescent="0.3">
      <c r="A24" s="200" t="s">
        <v>454</v>
      </c>
      <c r="B24" s="201"/>
      <c r="C24" s="202"/>
      <c r="D24" s="202"/>
      <c r="E24" s="203"/>
    </row>
    <row r="25" spans="1:8" ht="12.75" customHeight="1" x14ac:dyDescent="0.3">
      <c r="A25" s="204" t="s">
        <v>156</v>
      </c>
      <c r="B25" s="262">
        <v>0.25</v>
      </c>
      <c r="C25" s="263">
        <f>IF(ISNA(VLOOKUP(A25,'Listado de Artículos'!$B$16:$F$1328,5,0)),0,(VLOOKUP(A25,'Listado de Artículos'!$B$16:$F$1328,5,0)))</f>
        <v>0.9</v>
      </c>
      <c r="D25" s="211">
        <f>B25*C25</f>
        <v>0.22500000000000001</v>
      </c>
      <c r="E25" s="281"/>
    </row>
    <row r="26" spans="1:8" ht="12.75" customHeight="1" x14ac:dyDescent="0.3">
      <c r="A26" s="204" t="s">
        <v>134</v>
      </c>
      <c r="B26" s="262">
        <v>0.15</v>
      </c>
      <c r="C26" s="263">
        <f>IF(ISNA(VLOOKUP(A26,'Listado de Artículos'!$B$16:$F$1328,5,0)),0,(VLOOKUP(A26,'Listado de Artículos'!$B$16:$F$1328,5,0)))</f>
        <v>0</v>
      </c>
      <c r="D26" s="211">
        <f>B26*C26</f>
        <v>0</v>
      </c>
      <c r="E26" s="281"/>
    </row>
    <row r="27" spans="1:8" ht="12.75" customHeight="1" x14ac:dyDescent="0.3">
      <c r="A27" s="204" t="s">
        <v>123</v>
      </c>
      <c r="B27" s="262">
        <v>1</v>
      </c>
      <c r="C27" s="263">
        <f>IF(ISNA(VLOOKUP(A27,'Listado de Artículos'!$B$16:$F$1328,5,0)),0,(VLOOKUP(A27,'Listado de Artículos'!$B$16:$F$1328,5,0)))</f>
        <v>0.65</v>
      </c>
      <c r="D27" s="211">
        <f>B27*C27</f>
        <v>0.65</v>
      </c>
      <c r="E27" s="281"/>
    </row>
    <row r="28" spans="1:8" ht="12.75" customHeight="1" x14ac:dyDescent="0.3">
      <c r="A28" s="204"/>
      <c r="B28" s="262">
        <v>0.3</v>
      </c>
      <c r="C28" s="263">
        <f>IF(ISNA(VLOOKUP(A28,'Listado de Artículos'!$B$16:$F$1328,5,0)),0,(VLOOKUP(A28,'Listado de Artículos'!$B$16:$F$1328,5,0)))</f>
        <v>0</v>
      </c>
      <c r="D28" s="211">
        <f>B28*C28</f>
        <v>0</v>
      </c>
      <c r="E28" s="281"/>
    </row>
    <row r="29" spans="1:8" ht="12.75" customHeight="1" x14ac:dyDescent="0.3">
      <c r="A29" s="204"/>
      <c r="B29" s="283"/>
      <c r="C29" s="284"/>
      <c r="D29" s="285"/>
      <c r="E29" s="281"/>
    </row>
    <row r="30" spans="1:8" ht="12.75" customHeight="1" x14ac:dyDescent="0.3">
      <c r="A30" s="205" t="s">
        <v>455</v>
      </c>
      <c r="B30" s="286">
        <v>49.9</v>
      </c>
      <c r="C30" s="287">
        <f>B30/1.1</f>
        <v>45.36363636363636</v>
      </c>
      <c r="D30" s="288">
        <f>SUM(D6:D29)</f>
        <v>12.493399999999999</v>
      </c>
      <c r="E30" s="289">
        <f>(D30*100/C30)/100</f>
        <v>0.27540561122244489</v>
      </c>
      <c r="F30" s="206"/>
      <c r="G30" s="206"/>
      <c r="H30" s="206"/>
    </row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F3"/>
  </mergeCells>
  <conditionalFormatting sqref="C29">
    <cfRule type="cellIs" dxfId="27" priority="1" stopIfTrue="1" operator="lessThan">
      <formula>0</formula>
    </cfRule>
    <cfRule type="cellIs" dxfId="26" priority="2" stopIfTrue="1" operator="lessThan">
      <formula>0</formula>
    </cfRule>
    <cfRule type="cellIs" dxfId="25" priority="3" stopIfTrue="1" operator="lessThan">
      <formula>0</formula>
    </cfRule>
  </conditionalFormatting>
  <conditionalFormatting sqref="C30">
    <cfRule type="cellIs" dxfId="24" priority="4" stopIfTrue="1" operator="lessThan">
      <formula>0</formula>
    </cfRule>
  </conditionalFormatting>
  <dataValidations count="1">
    <dataValidation type="list" allowBlank="1" showErrorMessage="1" sqref="A5:A9 A11:A12 A14:A17 A19:A20 A22:A23 A25:A29">
      <formula1>Articulo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6640625" defaultRowHeight="15" customHeight="1" x14ac:dyDescent="0.2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Y187"/>
  <sheetViews>
    <sheetView workbookViewId="0"/>
  </sheetViews>
  <sheetFormatPr baseColWidth="10" defaultColWidth="12.6640625" defaultRowHeight="15" customHeight="1" x14ac:dyDescent="0.25"/>
  <cols>
    <col min="1" max="1" width="19.77734375" style="302" customWidth="1"/>
  </cols>
  <sheetData>
    <row r="2" spans="1:25" ht="15" customHeight="1" x14ac:dyDescent="0.3">
      <c r="A2" s="165"/>
      <c r="B2" s="165"/>
      <c r="C2" s="165"/>
      <c r="D2" s="165"/>
      <c r="E2" s="165"/>
      <c r="F2" s="165"/>
      <c r="G2" s="165"/>
      <c r="H2" s="165"/>
      <c r="I2" s="165"/>
      <c r="J2" s="165"/>
    </row>
    <row r="3" spans="1:25" ht="15" customHeight="1" x14ac:dyDescent="0.3">
      <c r="A3" s="166"/>
      <c r="B3" s="334" t="s">
        <v>474</v>
      </c>
      <c r="C3" s="304"/>
      <c r="D3" s="304"/>
      <c r="E3" s="304"/>
      <c r="F3" s="304"/>
      <c r="G3" s="304"/>
      <c r="H3" s="304"/>
      <c r="I3" s="304"/>
      <c r="J3" s="305"/>
    </row>
    <row r="4" spans="1:25" ht="15" customHeight="1" x14ac:dyDescent="0.3">
      <c r="A4" s="166"/>
      <c r="B4" s="316" t="s">
        <v>406</v>
      </c>
      <c r="C4" s="304"/>
      <c r="D4" s="304"/>
      <c r="E4" s="304"/>
      <c r="F4" s="304"/>
      <c r="G4" s="304"/>
      <c r="H4" s="304"/>
      <c r="I4" s="304"/>
      <c r="J4" s="305"/>
    </row>
    <row r="5" spans="1:25" ht="15" customHeight="1" x14ac:dyDescent="0.3">
      <c r="A5" s="166"/>
      <c r="B5" s="166"/>
      <c r="C5" s="166"/>
      <c r="D5" s="166"/>
      <c r="E5" s="166"/>
      <c r="F5" s="166"/>
      <c r="G5" s="166"/>
      <c r="H5" s="166"/>
      <c r="I5" s="166"/>
      <c r="J5" s="166"/>
    </row>
    <row r="6" spans="1:25" ht="15" customHeight="1" x14ac:dyDescent="0.3">
      <c r="A6" s="166"/>
      <c r="B6" s="166"/>
      <c r="C6" s="166"/>
      <c r="D6" s="166"/>
      <c r="E6" s="166"/>
      <c r="F6" s="166"/>
      <c r="G6" s="166"/>
      <c r="H6" s="166"/>
      <c r="I6" s="166"/>
      <c r="J6" s="166"/>
    </row>
    <row r="7" spans="1:25" ht="15" customHeight="1" x14ac:dyDescent="0.3">
      <c r="A7" s="167"/>
      <c r="B7" s="168" t="s">
        <v>407</v>
      </c>
      <c r="C7" s="309" t="s">
        <v>475</v>
      </c>
      <c r="D7" s="310"/>
      <c r="E7" s="310"/>
      <c r="F7" s="310"/>
      <c r="G7" s="310"/>
      <c r="H7" s="310"/>
      <c r="I7" s="310"/>
      <c r="J7" s="310"/>
    </row>
    <row r="8" spans="1:25" ht="15" customHeight="1" x14ac:dyDescent="0.3">
      <c r="A8" s="169"/>
      <c r="B8" s="170" t="s">
        <v>409</v>
      </c>
      <c r="C8" s="311" t="s">
        <v>425</v>
      </c>
      <c r="D8" s="312"/>
      <c r="E8" s="312"/>
      <c r="F8" s="313"/>
      <c r="G8" s="319" t="s">
        <v>426</v>
      </c>
      <c r="H8" s="315"/>
      <c r="I8" s="307"/>
      <c r="J8" s="308"/>
    </row>
    <row r="9" spans="1:25" ht="15" customHeight="1" x14ac:dyDescent="0.3">
      <c r="A9" s="166"/>
      <c r="B9" s="171" t="s">
        <v>411</v>
      </c>
      <c r="C9" s="207">
        <v>1</v>
      </c>
      <c r="D9" s="317" t="s">
        <v>412</v>
      </c>
      <c r="E9" s="318"/>
      <c r="F9" s="172">
        <f>SUM(J12:J18)</f>
        <v>1.5773999999999999</v>
      </c>
      <c r="G9" s="314" t="s">
        <v>427</v>
      </c>
      <c r="H9" s="315"/>
      <c r="I9" s="261">
        <f>F9/C9</f>
        <v>1.5773999999999999</v>
      </c>
      <c r="J9" s="270"/>
    </row>
    <row r="10" spans="1:25" ht="15" customHeight="1" x14ac:dyDescent="0.3">
      <c r="A10" s="174"/>
      <c r="B10" s="174"/>
      <c r="C10" s="174"/>
      <c r="D10" s="174"/>
      <c r="E10" s="174"/>
      <c r="F10" s="174"/>
      <c r="G10" s="174"/>
      <c r="H10" s="174"/>
      <c r="I10" s="166"/>
      <c r="J10" s="166"/>
    </row>
    <row r="11" spans="1:25" ht="15" customHeight="1" x14ac:dyDescent="0.3">
      <c r="A11" s="175" t="s">
        <v>414</v>
      </c>
      <c r="B11" s="219" t="s">
        <v>415</v>
      </c>
      <c r="C11" s="219" t="s">
        <v>416</v>
      </c>
      <c r="D11" s="219" t="s">
        <v>417</v>
      </c>
      <c r="E11" s="219" t="s">
        <v>418</v>
      </c>
      <c r="F11" s="219" t="s">
        <v>419</v>
      </c>
      <c r="G11" s="219" t="s">
        <v>420</v>
      </c>
      <c r="H11" s="219" t="s">
        <v>421</v>
      </c>
      <c r="I11" s="219" t="s">
        <v>422</v>
      </c>
      <c r="J11" s="220" t="s">
        <v>423</v>
      </c>
    </row>
    <row r="12" spans="1:25" ht="15" customHeight="1" x14ac:dyDescent="0.3">
      <c r="A12" s="177" t="s">
        <v>280</v>
      </c>
      <c r="B12" s="262">
        <v>0.35</v>
      </c>
      <c r="C12" s="263">
        <f>IF(ISNA(VLOOKUP(A12,'Listado de Artículos'!$B$16:$F$1328,5,0)),0,(VLOOKUP(A12,'Listado de Artículos'!$B$16:$F$1328,5,0)))</f>
        <v>2</v>
      </c>
      <c r="D12" s="262">
        <v>1</v>
      </c>
      <c r="E12" s="262">
        <v>1</v>
      </c>
      <c r="F12" s="264">
        <f>IF(D12&gt;0,(E12/D12),"")</f>
        <v>1</v>
      </c>
      <c r="G12" s="264">
        <v>5.0000000000000001E-3</v>
      </c>
      <c r="H12" s="265">
        <f>IF(B12&gt;0,(G12*B12/F12),"")</f>
        <v>1.7499999999999998E-3</v>
      </c>
      <c r="I12" s="265">
        <f>IF(B12&gt;0,(B12+H12),"")</f>
        <v>0.35174999999999995</v>
      </c>
      <c r="J12" s="211">
        <f>IF(C12&gt;0,(C12*I12),"")</f>
        <v>0.7034999999999999</v>
      </c>
    </row>
    <row r="13" spans="1:25" ht="15" customHeight="1" x14ac:dyDescent="0.3">
      <c r="A13" s="177" t="s">
        <v>322</v>
      </c>
      <c r="B13" s="262">
        <v>0.1</v>
      </c>
      <c r="C13" s="263">
        <f>IF(ISNA(VLOOKUP(A13,'Listado de Artículos'!$B$16:$F$1328,5,0)),0,(VLOOKUP(A13,'Listado de Artículos'!$B$16:$F$1328,5,0)))</f>
        <v>1.55</v>
      </c>
      <c r="D13" s="262">
        <v>1</v>
      </c>
      <c r="E13" s="262">
        <v>1</v>
      </c>
      <c r="F13" s="264">
        <f>IF(D13&gt;0,(E13/D13),"")</f>
        <v>1</v>
      </c>
      <c r="G13" s="264">
        <f>IF(D13&gt;0,(100%-F13),"")</f>
        <v>0</v>
      </c>
      <c r="H13" s="265">
        <f>IF(B13&gt;0,(G13*B13/F13),"")</f>
        <v>0</v>
      </c>
      <c r="I13" s="265">
        <f>IF(B13&gt;0,(B13+H13),"")</f>
        <v>0.1</v>
      </c>
      <c r="J13" s="211">
        <f>IF(C13&gt;0,(C13*I13),"")</f>
        <v>0.15500000000000003</v>
      </c>
    </row>
    <row r="14" spans="1:25" ht="15" customHeight="1" x14ac:dyDescent="0.3">
      <c r="A14" s="177" t="s">
        <v>317</v>
      </c>
      <c r="B14" s="262">
        <v>5.0000000000000001E-3</v>
      </c>
      <c r="C14" s="263">
        <f>IF(ISNA(VLOOKUP(A14,'Listado de Artículos'!$B$16:$F$1328,5,0)),0,(VLOOKUP(A14,'Listado de Artículos'!$B$16:$F$1328,5,0)))</f>
        <v>5.78</v>
      </c>
      <c r="D14" s="262">
        <v>1</v>
      </c>
      <c r="E14" s="262">
        <v>1</v>
      </c>
      <c r="F14" s="264">
        <f>IF(D14&gt;0,(E14/D14),"")</f>
        <v>1</v>
      </c>
      <c r="G14" s="264">
        <f>IF(D14&gt;0,(100%-F14),"")</f>
        <v>0</v>
      </c>
      <c r="H14" s="265">
        <f>IF(B14&gt;0,(G14*B14/F14),"")</f>
        <v>0</v>
      </c>
      <c r="I14" s="265">
        <f>IF(B14&gt;0,(B14+H14),"")</f>
        <v>5.0000000000000001E-3</v>
      </c>
      <c r="J14" s="211">
        <f>IF(C14&gt;0,(C14*I14),"")</f>
        <v>2.8900000000000002E-2</v>
      </c>
    </row>
    <row r="15" spans="1:25" ht="15" customHeight="1" x14ac:dyDescent="0.3">
      <c r="A15" s="221" t="s">
        <v>295</v>
      </c>
      <c r="B15" s="265">
        <v>0.1</v>
      </c>
      <c r="C15" s="294">
        <f>IF(ISNA(VLOOKUP(A15,'Listado de Artículos'!$B$16:$F$1328,5,0)),0,(VLOOKUP(A15,'Listado de Artículos'!$B$16:$F$1328,5,0)))</f>
        <v>6.9</v>
      </c>
      <c r="D15" s="265">
        <v>1</v>
      </c>
      <c r="E15" s="265">
        <v>1</v>
      </c>
      <c r="F15" s="264">
        <f>IF(D15&gt;0,(E15/D15),"")</f>
        <v>1</v>
      </c>
      <c r="G15" s="264">
        <f>IF(D15&gt;0,(100%-F15),"")</f>
        <v>0</v>
      </c>
      <c r="H15" s="265">
        <f>IF(B15&gt;0,(G15*B15/F15),"")</f>
        <v>0</v>
      </c>
      <c r="I15" s="265">
        <f>IF(B15&gt;0,(B15+H15),"")</f>
        <v>0.1</v>
      </c>
      <c r="J15" s="211">
        <f>IF(C15&gt;0,(C15*I15),"")</f>
        <v>0.69000000000000006</v>
      </c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</row>
    <row r="16" spans="1:25" ht="15" customHeight="1" x14ac:dyDescent="0.3">
      <c r="A16" s="221"/>
      <c r="B16" s="265"/>
      <c r="C16" s="294"/>
      <c r="D16" s="265"/>
      <c r="E16" s="265"/>
      <c r="F16" s="264"/>
      <c r="G16" s="264"/>
      <c r="H16" s="265"/>
      <c r="I16" s="265"/>
      <c r="J16" s="211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</row>
    <row r="17" spans="1:25" ht="15" customHeight="1" x14ac:dyDescent="0.3">
      <c r="A17" s="221"/>
      <c r="B17" s="265"/>
      <c r="C17" s="294"/>
      <c r="D17" s="265"/>
      <c r="E17" s="265"/>
      <c r="F17" s="264"/>
      <c r="G17" s="264"/>
      <c r="H17" s="265"/>
      <c r="I17" s="265"/>
      <c r="J17" s="211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</row>
    <row r="18" spans="1:25" ht="15" customHeight="1" x14ac:dyDescent="0.3">
      <c r="A18" s="221"/>
      <c r="B18" s="265"/>
      <c r="C18" s="294"/>
      <c r="D18" s="265"/>
      <c r="E18" s="265"/>
      <c r="F18" s="264"/>
      <c r="G18" s="264"/>
      <c r="H18" s="265"/>
      <c r="I18" s="265"/>
      <c r="J18" s="211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</row>
    <row r="19" spans="1:25" ht="15" customHeight="1" x14ac:dyDescent="0.3">
      <c r="A19" s="165"/>
      <c r="B19" s="165"/>
      <c r="C19" s="165"/>
      <c r="D19" s="165"/>
      <c r="E19" s="165"/>
      <c r="F19" s="165"/>
      <c r="G19" s="165"/>
      <c r="H19" s="165"/>
      <c r="I19" s="165"/>
      <c r="J19" s="165"/>
    </row>
    <row r="22" spans="1:25" ht="15" customHeight="1" x14ac:dyDescent="0.3">
      <c r="A22" s="167"/>
      <c r="B22" s="168" t="s">
        <v>407</v>
      </c>
      <c r="C22" s="309" t="s">
        <v>476</v>
      </c>
      <c r="D22" s="310"/>
      <c r="E22" s="310"/>
      <c r="F22" s="310"/>
      <c r="G22" s="310"/>
      <c r="H22" s="310"/>
      <c r="I22" s="310"/>
      <c r="J22" s="310"/>
    </row>
    <row r="23" spans="1:25" ht="15" customHeight="1" x14ac:dyDescent="0.3">
      <c r="A23" s="169"/>
      <c r="B23" s="170" t="s">
        <v>409</v>
      </c>
      <c r="C23" s="311" t="s">
        <v>425</v>
      </c>
      <c r="D23" s="312"/>
      <c r="E23" s="312"/>
      <c r="F23" s="313"/>
      <c r="G23" s="319" t="s">
        <v>426</v>
      </c>
      <c r="H23" s="315"/>
      <c r="I23" s="307"/>
      <c r="J23" s="308"/>
    </row>
    <row r="24" spans="1:25" ht="15" customHeight="1" x14ac:dyDescent="0.3">
      <c r="A24" s="166"/>
      <c r="B24" s="171" t="s">
        <v>411</v>
      </c>
      <c r="C24" s="207">
        <v>1</v>
      </c>
      <c r="D24" s="317" t="s">
        <v>412</v>
      </c>
      <c r="E24" s="318"/>
      <c r="F24" s="172">
        <f>SUM(J27:J37)</f>
        <v>8.7909999999999986</v>
      </c>
      <c r="G24" s="314" t="s">
        <v>427</v>
      </c>
      <c r="H24" s="315"/>
      <c r="I24" s="261">
        <f>F24/C24</f>
        <v>8.7909999999999986</v>
      </c>
      <c r="J24" s="270"/>
    </row>
    <row r="25" spans="1:25" ht="15" customHeight="1" x14ac:dyDescent="0.3">
      <c r="A25" s="174"/>
      <c r="B25" s="174"/>
      <c r="C25" s="174"/>
      <c r="D25" s="174"/>
      <c r="E25" s="174"/>
      <c r="F25" s="174"/>
      <c r="G25" s="174"/>
      <c r="H25" s="174"/>
      <c r="I25" s="166"/>
      <c r="J25" s="166"/>
    </row>
    <row r="26" spans="1:25" ht="15" customHeight="1" x14ac:dyDescent="0.3">
      <c r="A26" s="175" t="s">
        <v>414</v>
      </c>
      <c r="B26" s="219" t="s">
        <v>415</v>
      </c>
      <c r="C26" s="219" t="s">
        <v>416</v>
      </c>
      <c r="D26" s="219" t="s">
        <v>417</v>
      </c>
      <c r="E26" s="219" t="s">
        <v>418</v>
      </c>
      <c r="F26" s="219" t="s">
        <v>419</v>
      </c>
      <c r="G26" s="219" t="s">
        <v>420</v>
      </c>
      <c r="H26" s="219" t="s">
        <v>421</v>
      </c>
      <c r="I26" s="219" t="s">
        <v>422</v>
      </c>
      <c r="J26" s="220" t="s">
        <v>423</v>
      </c>
    </row>
    <row r="27" spans="1:25" ht="15" customHeight="1" x14ac:dyDescent="0.3">
      <c r="A27" s="177" t="s">
        <v>305</v>
      </c>
      <c r="B27" s="262">
        <v>7.0000000000000007E-2</v>
      </c>
      <c r="C27" s="263">
        <f>IF(ISNA(VLOOKUP(A27,'Listado de Artículos'!$B$16:$F$1328,5,0)),0,(VLOOKUP(A27,'Listado de Artículos'!$B$16:$F$1328,5,0)))</f>
        <v>0.03</v>
      </c>
      <c r="D27" s="262">
        <v>1</v>
      </c>
      <c r="E27" s="262">
        <v>1</v>
      </c>
      <c r="F27" s="264">
        <f t="shared" ref="F27:F37" si="0">IF(D27&gt;0,(E27/D27),"")</f>
        <v>1</v>
      </c>
      <c r="G27" s="264">
        <f t="shared" ref="G27:G37" si="1">IF(D27&gt;0,(100%-F27),"")</f>
        <v>0</v>
      </c>
      <c r="H27" s="265">
        <f t="shared" ref="H27:H37" si="2">IF(B27&gt;0,(G27*B27/F27),"")</f>
        <v>0</v>
      </c>
      <c r="I27" s="265">
        <f t="shared" ref="I27:I37" si="3">IF(B27&gt;0,(B27+H27),"")</f>
        <v>7.0000000000000007E-2</v>
      </c>
      <c r="J27" s="211">
        <f t="shared" ref="J27:J37" si="4">IF(C27&gt;0,(C27*I27),"")</f>
        <v>2.1000000000000003E-3</v>
      </c>
    </row>
    <row r="28" spans="1:25" ht="15" customHeight="1" x14ac:dyDescent="0.3">
      <c r="A28" s="177" t="s">
        <v>307</v>
      </c>
      <c r="B28" s="262">
        <v>0.04</v>
      </c>
      <c r="C28" s="263">
        <f>IF(ISNA(VLOOKUP(A28,'Listado de Artículos'!$B$16:$F$1328,5,0)),0,(VLOOKUP(A28,'Listado de Artículos'!$B$16:$F$1328,5,0)))</f>
        <v>0.01</v>
      </c>
      <c r="D28" s="262">
        <v>1</v>
      </c>
      <c r="E28" s="262">
        <v>1</v>
      </c>
      <c r="F28" s="264">
        <f t="shared" si="0"/>
        <v>1</v>
      </c>
      <c r="G28" s="264">
        <f t="shared" si="1"/>
        <v>0</v>
      </c>
      <c r="H28" s="265">
        <f t="shared" si="2"/>
        <v>0</v>
      </c>
      <c r="I28" s="265">
        <f t="shared" si="3"/>
        <v>0.04</v>
      </c>
      <c r="J28" s="211">
        <f t="shared" si="4"/>
        <v>4.0000000000000002E-4</v>
      </c>
    </row>
    <row r="29" spans="1:25" ht="13.8" customHeight="1" x14ac:dyDescent="0.3">
      <c r="A29" s="177" t="s">
        <v>306</v>
      </c>
      <c r="B29" s="262">
        <v>0.03</v>
      </c>
      <c r="C29" s="263">
        <f>IF(ISNA(VLOOKUP(A29,'Listado de Artículos'!$B$16:$F$1328,5,0)),0,(VLOOKUP(A29,'Listado de Artículos'!$B$16:$F$1328,5,0)))</f>
        <v>2.95</v>
      </c>
      <c r="D29" s="262">
        <v>1</v>
      </c>
      <c r="E29" s="262">
        <v>1</v>
      </c>
      <c r="F29" s="264">
        <f t="shared" si="0"/>
        <v>1</v>
      </c>
      <c r="G29" s="264">
        <f t="shared" si="1"/>
        <v>0</v>
      </c>
      <c r="H29" s="265">
        <f t="shared" si="2"/>
        <v>0</v>
      </c>
      <c r="I29" s="265">
        <f t="shared" si="3"/>
        <v>0.03</v>
      </c>
      <c r="J29" s="211">
        <f t="shared" si="4"/>
        <v>8.8499999999999995E-2</v>
      </c>
    </row>
    <row r="30" spans="1:25" ht="13.8" customHeight="1" x14ac:dyDescent="0.3">
      <c r="A30" s="221" t="s">
        <v>270</v>
      </c>
      <c r="B30" s="265">
        <v>3</v>
      </c>
      <c r="C30" s="294">
        <f>IF(ISNA(VLOOKUP(A30,'Listado de Artículos'!$B$16:$F$1328,5,0)),0,(VLOOKUP(A30,'Listado de Artículos'!$B$16:$F$1328,5,0)))</f>
        <v>2.9</v>
      </c>
      <c r="D30" s="265">
        <v>1</v>
      </c>
      <c r="E30" s="265">
        <v>1</v>
      </c>
      <c r="F30" s="264">
        <f t="shared" si="0"/>
        <v>1</v>
      </c>
      <c r="G30" s="264">
        <f t="shared" si="1"/>
        <v>0</v>
      </c>
      <c r="H30" s="265">
        <f t="shared" si="2"/>
        <v>0</v>
      </c>
      <c r="I30" s="265">
        <f t="shared" si="3"/>
        <v>3</v>
      </c>
      <c r="J30" s="211">
        <f t="shared" si="4"/>
        <v>8.6999999999999993</v>
      </c>
    </row>
    <row r="31" spans="1:25" ht="13.8" customHeight="1" x14ac:dyDescent="0.3">
      <c r="A31" s="221"/>
      <c r="B31" s="265">
        <v>0.3</v>
      </c>
      <c r="C31" s="294">
        <f>IF(ISNA(VLOOKUP(A31,'Listado de Artículos'!$B$16:$F$1328,5,0)),0,(VLOOKUP(A31,'Listado de Artículos'!$B$16:$F$1328,5,0)))</f>
        <v>0</v>
      </c>
      <c r="D31" s="265">
        <v>1</v>
      </c>
      <c r="E31" s="265">
        <v>1</v>
      </c>
      <c r="F31" s="264">
        <f t="shared" si="0"/>
        <v>1</v>
      </c>
      <c r="G31" s="264">
        <f t="shared" si="1"/>
        <v>0</v>
      </c>
      <c r="H31" s="265">
        <f t="shared" si="2"/>
        <v>0</v>
      </c>
      <c r="I31" s="265">
        <f t="shared" si="3"/>
        <v>0.3</v>
      </c>
      <c r="J31" s="211" t="str">
        <f t="shared" si="4"/>
        <v/>
      </c>
    </row>
    <row r="32" spans="1:25" ht="13.8" customHeight="1" x14ac:dyDescent="0.3">
      <c r="A32" s="221"/>
      <c r="B32" s="265">
        <v>0.25</v>
      </c>
      <c r="C32" s="294">
        <f>IF(ISNA(VLOOKUP(A32,'Listado de Artículos'!$B$16:$F$1328,5,0)),0,(VLOOKUP(A32,'Listado de Artículos'!$B$16:$F$1328,5,0)))</f>
        <v>0</v>
      </c>
      <c r="D32" s="265">
        <v>1</v>
      </c>
      <c r="E32" s="265">
        <v>1</v>
      </c>
      <c r="F32" s="264">
        <f t="shared" si="0"/>
        <v>1</v>
      </c>
      <c r="G32" s="264">
        <f t="shared" si="1"/>
        <v>0</v>
      </c>
      <c r="H32" s="265">
        <f t="shared" si="2"/>
        <v>0</v>
      </c>
      <c r="I32" s="265">
        <f t="shared" si="3"/>
        <v>0.25</v>
      </c>
      <c r="J32" s="211" t="str">
        <f t="shared" si="4"/>
        <v/>
      </c>
    </row>
    <row r="33" spans="1:25" ht="13.8" customHeight="1" x14ac:dyDescent="0.3">
      <c r="A33" s="221"/>
      <c r="B33" s="265">
        <v>1</v>
      </c>
      <c r="C33" s="294">
        <f>IF(ISNA(VLOOKUP(A33,'Listado de Artículos'!$B$16:$F$1328,5,0)),0,(VLOOKUP(A33,'Listado de Artículos'!$B$16:$F$1328,5,0)))</f>
        <v>0</v>
      </c>
      <c r="D33" s="265">
        <v>1</v>
      </c>
      <c r="E33" s="265">
        <v>1</v>
      </c>
      <c r="F33" s="264">
        <f t="shared" si="0"/>
        <v>1</v>
      </c>
      <c r="G33" s="264">
        <f t="shared" si="1"/>
        <v>0</v>
      </c>
      <c r="H33" s="265">
        <f t="shared" si="2"/>
        <v>0</v>
      </c>
      <c r="I33" s="265">
        <f t="shared" si="3"/>
        <v>1</v>
      </c>
      <c r="J33" s="211" t="str">
        <f t="shared" si="4"/>
        <v/>
      </c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</row>
    <row r="34" spans="1:25" ht="13.8" customHeight="1" x14ac:dyDescent="0.3">
      <c r="A34" s="221"/>
      <c r="B34" s="265">
        <v>1</v>
      </c>
      <c r="C34" s="294">
        <f>IF(ISNA(VLOOKUP(A34,'Listado de Artículos'!$B$16:$F$1328,5,0)),0,(VLOOKUP(A34,'Listado de Artículos'!$B$16:$F$1328,5,0)))</f>
        <v>0</v>
      </c>
      <c r="D34" s="265">
        <v>1</v>
      </c>
      <c r="E34" s="265">
        <v>1</v>
      </c>
      <c r="F34" s="264">
        <f t="shared" si="0"/>
        <v>1</v>
      </c>
      <c r="G34" s="264">
        <f t="shared" si="1"/>
        <v>0</v>
      </c>
      <c r="H34" s="265">
        <f t="shared" si="2"/>
        <v>0</v>
      </c>
      <c r="I34" s="265">
        <f t="shared" si="3"/>
        <v>1</v>
      </c>
      <c r="J34" s="211" t="str">
        <f t="shared" si="4"/>
        <v/>
      </c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</row>
    <row r="35" spans="1:25" ht="13.8" customHeight="1" x14ac:dyDescent="0.3">
      <c r="A35" s="221"/>
      <c r="B35" s="265">
        <v>1</v>
      </c>
      <c r="C35" s="294">
        <f>IF(ISNA(VLOOKUP(A35,'Listado de Artículos'!$B$16:$F$1328,5,0)),0,(VLOOKUP(A35,'Listado de Artículos'!$B$16:$F$1328,5,0)))</f>
        <v>0</v>
      </c>
      <c r="D35" s="265">
        <v>1</v>
      </c>
      <c r="E35" s="265">
        <v>1</v>
      </c>
      <c r="F35" s="264">
        <f t="shared" si="0"/>
        <v>1</v>
      </c>
      <c r="G35" s="264">
        <f t="shared" si="1"/>
        <v>0</v>
      </c>
      <c r="H35" s="265">
        <f t="shared" si="2"/>
        <v>0</v>
      </c>
      <c r="I35" s="265">
        <f t="shared" si="3"/>
        <v>1</v>
      </c>
      <c r="J35" s="211" t="str">
        <f t="shared" si="4"/>
        <v/>
      </c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</row>
    <row r="36" spans="1:25" ht="13.8" customHeight="1" x14ac:dyDescent="0.3">
      <c r="A36" s="221"/>
      <c r="B36" s="265">
        <v>1</v>
      </c>
      <c r="C36" s="294">
        <f>IF(ISNA(VLOOKUP(A36,'Listado de Artículos'!$B$16:$F$1328,5,0)),0,(VLOOKUP(A36,'Listado de Artículos'!$B$16:$F$1328,5,0)))</f>
        <v>0</v>
      </c>
      <c r="D36" s="265">
        <v>1</v>
      </c>
      <c r="E36" s="265">
        <v>1</v>
      </c>
      <c r="F36" s="264">
        <f t="shared" si="0"/>
        <v>1</v>
      </c>
      <c r="G36" s="264">
        <f t="shared" si="1"/>
        <v>0</v>
      </c>
      <c r="H36" s="265">
        <f t="shared" si="2"/>
        <v>0</v>
      </c>
      <c r="I36" s="265">
        <f t="shared" si="3"/>
        <v>1</v>
      </c>
      <c r="J36" s="211" t="str">
        <f t="shared" si="4"/>
        <v/>
      </c>
    </row>
    <row r="37" spans="1:25" ht="13.8" customHeight="1" x14ac:dyDescent="0.3">
      <c r="A37" s="221"/>
      <c r="B37" s="265">
        <v>2</v>
      </c>
      <c r="C37" s="294">
        <f>IF(ISNA(VLOOKUP(A37,'Listado de Artículos'!$B$16:$F$1328,5,0)),0,(VLOOKUP(A37,'Listado de Artículos'!$B$16:$F$1328,5,0)))</f>
        <v>0</v>
      </c>
      <c r="D37" s="265">
        <v>1</v>
      </c>
      <c r="E37" s="265">
        <v>1</v>
      </c>
      <c r="F37" s="264">
        <f t="shared" si="0"/>
        <v>1</v>
      </c>
      <c r="G37" s="264">
        <f t="shared" si="1"/>
        <v>0</v>
      </c>
      <c r="H37" s="265">
        <f t="shared" si="2"/>
        <v>0</v>
      </c>
      <c r="I37" s="265">
        <f t="shared" si="3"/>
        <v>2</v>
      </c>
      <c r="J37" s="211" t="str">
        <f t="shared" si="4"/>
        <v/>
      </c>
    </row>
    <row r="38" spans="1:25" ht="13.8" customHeight="1" x14ac:dyDescent="0.3">
      <c r="A38" s="165"/>
      <c r="B38" s="165"/>
      <c r="C38" s="165"/>
      <c r="D38" s="165"/>
      <c r="E38" s="165"/>
      <c r="F38" s="165"/>
      <c r="G38" s="165"/>
      <c r="H38" s="165"/>
      <c r="I38" s="165"/>
      <c r="J38" s="165"/>
    </row>
    <row r="39" spans="1:25" ht="13.2" customHeight="1" x14ac:dyDescent="0.25">
      <c r="A39" s="225">
        <f>1500/60</f>
        <v>25</v>
      </c>
    </row>
    <row r="41" spans="1:25" ht="15.6" customHeight="1" x14ac:dyDescent="0.3">
      <c r="A41" s="167"/>
      <c r="B41" s="168" t="s">
        <v>407</v>
      </c>
      <c r="C41" s="309" t="s">
        <v>477</v>
      </c>
      <c r="D41" s="310"/>
      <c r="E41" s="310"/>
      <c r="F41" s="310"/>
      <c r="G41" s="310"/>
      <c r="H41" s="310"/>
      <c r="I41" s="310"/>
      <c r="J41" s="310"/>
    </row>
    <row r="42" spans="1:25" ht="15.6" customHeight="1" x14ac:dyDescent="0.3">
      <c r="A42" s="169"/>
      <c r="B42" s="170" t="s">
        <v>409</v>
      </c>
      <c r="C42" s="311" t="s">
        <v>425</v>
      </c>
      <c r="D42" s="312"/>
      <c r="E42" s="312"/>
      <c r="F42" s="313"/>
      <c r="G42" s="319" t="s">
        <v>426</v>
      </c>
      <c r="H42" s="315"/>
      <c r="I42" s="307"/>
      <c r="J42" s="308"/>
    </row>
    <row r="43" spans="1:25" ht="15.6" customHeight="1" x14ac:dyDescent="0.3">
      <c r="A43" s="166"/>
      <c r="B43" s="171" t="s">
        <v>411</v>
      </c>
      <c r="C43" s="207">
        <v>1</v>
      </c>
      <c r="D43" s="317" t="s">
        <v>412</v>
      </c>
      <c r="E43" s="318"/>
      <c r="F43" s="172">
        <f>SUM(J46:J48)</f>
        <v>10.025</v>
      </c>
      <c r="G43" s="314" t="s">
        <v>427</v>
      </c>
      <c r="H43" s="315"/>
      <c r="I43" s="261">
        <f>F43/C43</f>
        <v>10.025</v>
      </c>
      <c r="J43" s="270"/>
    </row>
    <row r="44" spans="1:25" ht="13.8" customHeight="1" x14ac:dyDescent="0.3">
      <c r="A44" s="174"/>
      <c r="B44" s="174"/>
      <c r="C44" s="174"/>
      <c r="D44" s="174"/>
      <c r="E44" s="174"/>
      <c r="F44" s="174"/>
      <c r="G44" s="174"/>
      <c r="H44" s="174"/>
      <c r="I44" s="166"/>
      <c r="J44" s="166"/>
    </row>
    <row r="45" spans="1:25" ht="13.8" customHeight="1" x14ac:dyDescent="0.3">
      <c r="A45" s="175" t="s">
        <v>414</v>
      </c>
      <c r="B45" s="219" t="s">
        <v>415</v>
      </c>
      <c r="C45" s="219" t="s">
        <v>416</v>
      </c>
      <c r="D45" s="219" t="s">
        <v>417</v>
      </c>
      <c r="E45" s="219" t="s">
        <v>418</v>
      </c>
      <c r="F45" s="219" t="s">
        <v>419</v>
      </c>
      <c r="G45" s="219" t="s">
        <v>420</v>
      </c>
      <c r="H45" s="219" t="s">
        <v>421</v>
      </c>
      <c r="I45" s="219" t="s">
        <v>422</v>
      </c>
      <c r="J45" s="220" t="s">
        <v>423</v>
      </c>
    </row>
    <row r="46" spans="1:25" ht="13.8" customHeight="1" x14ac:dyDescent="0.3">
      <c r="A46" s="177" t="s">
        <v>268</v>
      </c>
      <c r="B46" s="262">
        <v>0.15</v>
      </c>
      <c r="C46" s="263">
        <f>IF(ISNA(VLOOKUP(A46,'Listado de Artículos'!$B$16:$F$1328,5,0)),0,(VLOOKUP(A46,'Listado de Artículos'!$B$16:$F$1328,5,0)))</f>
        <v>7.6</v>
      </c>
      <c r="D46" s="262">
        <v>1</v>
      </c>
      <c r="E46" s="262">
        <v>1</v>
      </c>
      <c r="F46" s="264">
        <f>IF(D46&gt;0,(E46/D46),"")</f>
        <v>1</v>
      </c>
      <c r="G46" s="264">
        <f>IF(D46&gt;0,(100%-F46),"")</f>
        <v>0</v>
      </c>
      <c r="H46" s="265">
        <f>IF(B46&gt;0,(G46*B46/F46),"")</f>
        <v>0</v>
      </c>
      <c r="I46" s="265">
        <f>IF(B46&gt;0,(B46+H46),"")</f>
        <v>0.15</v>
      </c>
      <c r="J46" s="211">
        <f>IF(C46&gt;0,(C46*I46),"")</f>
        <v>1.1399999999999999</v>
      </c>
    </row>
    <row r="47" spans="1:25" ht="13.8" customHeight="1" x14ac:dyDescent="0.3">
      <c r="A47" s="177" t="s">
        <v>270</v>
      </c>
      <c r="B47" s="262">
        <v>3</v>
      </c>
      <c r="C47" s="263">
        <f>IF(ISNA(VLOOKUP(A47,'Listado de Artículos'!$B$16:$F$1328,5,0)),0,(VLOOKUP(A47,'Listado de Artículos'!$B$16:$F$1328,5,0)))</f>
        <v>2.9</v>
      </c>
      <c r="D47" s="262">
        <v>1</v>
      </c>
      <c r="E47" s="262">
        <v>1</v>
      </c>
      <c r="F47" s="264">
        <f>IF(D47&gt;0,(E47/D47),"")</f>
        <v>1</v>
      </c>
      <c r="G47" s="264">
        <f>IF(D47&gt;0,(100%-F47),"")</f>
        <v>0</v>
      </c>
      <c r="H47" s="265">
        <f>IF(B47&gt;0,(G47*B47/F47),"")</f>
        <v>0</v>
      </c>
      <c r="I47" s="265">
        <f>IF(B47&gt;0,(B47+H47),"")</f>
        <v>3</v>
      </c>
      <c r="J47" s="211">
        <f>IF(C47&gt;0,(C47*I47),"")</f>
        <v>8.6999999999999993</v>
      </c>
    </row>
    <row r="48" spans="1:25" ht="13.8" customHeight="1" x14ac:dyDescent="0.3">
      <c r="A48" s="177" t="s">
        <v>349</v>
      </c>
      <c r="B48" s="262">
        <v>0.1</v>
      </c>
      <c r="C48" s="263">
        <f>IF(ISNA(VLOOKUP(A48,'Listado de Artículos'!$B$16:$F$1328,5,0)),0,(VLOOKUP(A48,'Listado de Artículos'!$B$16:$F$1328,5,0)))</f>
        <v>1.85</v>
      </c>
      <c r="D48" s="262">
        <v>1</v>
      </c>
      <c r="E48" s="262">
        <v>1</v>
      </c>
      <c r="F48" s="264">
        <f>IF(D48&gt;0,(E48/D48),"")</f>
        <v>1</v>
      </c>
      <c r="G48" s="264">
        <f>IF(D48&gt;0,(100%-F48),"")</f>
        <v>0</v>
      </c>
      <c r="H48" s="265">
        <f>IF(B48&gt;0,(G48*B48/F48),"")</f>
        <v>0</v>
      </c>
      <c r="I48" s="265">
        <f>IF(B48&gt;0,(B48+H48),"")</f>
        <v>0.1</v>
      </c>
      <c r="J48" s="211">
        <f>IF(C48&gt;0,(C48*I48),"")</f>
        <v>0.18500000000000003</v>
      </c>
    </row>
    <row r="49" spans="1:13" ht="13.8" customHeight="1" x14ac:dyDescent="0.3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1" spans="1:13" ht="15.6" customHeight="1" x14ac:dyDescent="0.3">
      <c r="A51" s="259"/>
      <c r="B51" s="213" t="s">
        <v>407</v>
      </c>
      <c r="C51" s="332" t="s">
        <v>478</v>
      </c>
      <c r="D51" s="310"/>
      <c r="E51" s="310"/>
      <c r="F51" s="310"/>
      <c r="G51" s="310"/>
      <c r="H51" s="310"/>
      <c r="I51" s="310"/>
      <c r="J51" s="310"/>
    </row>
    <row r="52" spans="1:13" ht="15.6" customHeight="1" x14ac:dyDescent="0.3">
      <c r="A52" s="212"/>
      <c r="B52" s="214" t="s">
        <v>409</v>
      </c>
      <c r="C52" s="335" t="s">
        <v>425</v>
      </c>
      <c r="D52" s="312"/>
      <c r="E52" s="312"/>
      <c r="F52" s="313"/>
      <c r="G52" s="333" t="s">
        <v>426</v>
      </c>
      <c r="H52" s="315"/>
      <c r="I52" s="336"/>
      <c r="J52" s="308"/>
    </row>
    <row r="53" spans="1:13" ht="15.6" customHeight="1" x14ac:dyDescent="0.3">
      <c r="A53" s="259"/>
      <c r="B53" s="215" t="s">
        <v>411</v>
      </c>
      <c r="C53" s="216">
        <v>1</v>
      </c>
      <c r="D53" s="331" t="s">
        <v>412</v>
      </c>
      <c r="E53" s="318"/>
      <c r="F53" s="217">
        <f>SUM(J56:J59)</f>
        <v>1.1475</v>
      </c>
      <c r="G53" s="330" t="s">
        <v>427</v>
      </c>
      <c r="H53" s="315"/>
      <c r="I53" s="295">
        <f>F53/C53</f>
        <v>1.1475</v>
      </c>
      <c r="J53" s="296"/>
    </row>
    <row r="54" spans="1:13" ht="13.2" customHeight="1" x14ac:dyDescent="0.25">
      <c r="A54" s="259"/>
      <c r="B54" s="259"/>
      <c r="C54" s="259"/>
      <c r="D54" s="259"/>
      <c r="E54" s="259"/>
      <c r="F54" s="259"/>
      <c r="G54" s="259"/>
      <c r="H54" s="259"/>
      <c r="I54" s="259"/>
      <c r="J54" s="259"/>
    </row>
    <row r="55" spans="1:13" ht="13.8" customHeight="1" x14ac:dyDescent="0.3">
      <c r="A55" s="218" t="s">
        <v>414</v>
      </c>
      <c r="B55" s="219" t="s">
        <v>415</v>
      </c>
      <c r="C55" s="219" t="s">
        <v>416</v>
      </c>
      <c r="D55" s="219" t="s">
        <v>417</v>
      </c>
      <c r="E55" s="219" t="s">
        <v>418</v>
      </c>
      <c r="F55" s="219" t="s">
        <v>419</v>
      </c>
      <c r="G55" s="219" t="s">
        <v>420</v>
      </c>
      <c r="H55" s="219" t="s">
        <v>421</v>
      </c>
      <c r="I55" s="219" t="s">
        <v>422</v>
      </c>
      <c r="J55" s="220" t="s">
        <v>423</v>
      </c>
    </row>
    <row r="56" spans="1:13" ht="13.8" customHeight="1" x14ac:dyDescent="0.3">
      <c r="A56" s="221" t="s">
        <v>198</v>
      </c>
      <c r="B56" s="265">
        <v>0.15</v>
      </c>
      <c r="C56" s="294">
        <f>IF(ISNA(VLOOKUP(A56,'Listado de Artículos'!$B$16:$F$1328,5,0)),0,(VLOOKUP(A56,'Listado de Artículos'!$B$16:$F$1328,5,0)))</f>
        <v>6.25</v>
      </c>
      <c r="D56" s="265">
        <v>1</v>
      </c>
      <c r="E56" s="265">
        <v>1</v>
      </c>
      <c r="F56" s="264">
        <f>IF(D56&gt;0,(E56/D56),"")</f>
        <v>1</v>
      </c>
      <c r="G56" s="264">
        <f>IF(D56&gt;0,(100%-F56),"")</f>
        <v>0</v>
      </c>
      <c r="H56" s="265">
        <f>IF(B56&gt;0,(G56*B56/F56),"")</f>
        <v>0</v>
      </c>
      <c r="I56" s="265">
        <f>IF(B56&gt;0,(B56+H56),"")</f>
        <v>0.15</v>
      </c>
      <c r="J56" s="211">
        <f>IF(C56&gt;0,(C56*I56),"")</f>
        <v>0.9375</v>
      </c>
    </row>
    <row r="57" spans="1:13" ht="13.8" customHeight="1" x14ac:dyDescent="0.3">
      <c r="A57" s="221" t="s">
        <v>241</v>
      </c>
      <c r="B57" s="265">
        <v>0.2</v>
      </c>
      <c r="C57" s="294">
        <f>IF(ISNA(VLOOKUP(A57,'Listado de Artículos'!$B$16:$F$1328,5,0)),0,(VLOOKUP(A57,'Listado de Artículos'!$B$16:$F$1328,5,0)))</f>
        <v>1.05</v>
      </c>
      <c r="D57" s="265">
        <v>1</v>
      </c>
      <c r="E57" s="265">
        <v>1</v>
      </c>
      <c r="F57" s="264">
        <f>IF(D57&gt;0,(E57/D57),"")</f>
        <v>1</v>
      </c>
      <c r="G57" s="264">
        <f>IF(D57&gt;0,(100%-F57),"")</f>
        <v>0</v>
      </c>
      <c r="H57" s="265">
        <f>IF(B57&gt;0,(G57*B57/F57),"")</f>
        <v>0</v>
      </c>
      <c r="I57" s="265">
        <f>IF(B57&gt;0,(B57+H57),"")</f>
        <v>0.2</v>
      </c>
      <c r="J57" s="211">
        <f>IF(C57&gt;0,(C57*I57),"")</f>
        <v>0.21000000000000002</v>
      </c>
    </row>
    <row r="58" spans="1:13" ht="13.8" customHeight="1" x14ac:dyDescent="0.3">
      <c r="A58" s="221"/>
      <c r="B58" s="265">
        <v>0.04</v>
      </c>
      <c r="C58" s="294">
        <f>IF(ISNA(VLOOKUP(A58,'Listado de Artículos'!$B$16:$F$1328,5,0)),0,(VLOOKUP(A58,'Listado de Artículos'!$B$16:$F$1328,5,0)))</f>
        <v>0</v>
      </c>
      <c r="D58" s="265">
        <v>1</v>
      </c>
      <c r="E58" s="265">
        <v>1</v>
      </c>
      <c r="F58" s="264">
        <f>IF(D58&gt;0,(E58/D58),"")</f>
        <v>1</v>
      </c>
      <c r="G58" s="264">
        <f>IF(D58&gt;0,(100%-F58),"")</f>
        <v>0</v>
      </c>
      <c r="H58" s="265">
        <f>IF(B58&gt;0,(G58*B58/F58),"")</f>
        <v>0</v>
      </c>
      <c r="I58" s="265">
        <f>IF(B58&gt;0,(B58+H58),"")</f>
        <v>0.04</v>
      </c>
      <c r="J58" s="211" t="str">
        <f>IF(C58&gt;0,(C58*I58),"")</f>
        <v/>
      </c>
    </row>
    <row r="59" spans="1:13" ht="13.8" customHeight="1" x14ac:dyDescent="0.3">
      <c r="A59" s="221"/>
      <c r="B59" s="265">
        <v>2</v>
      </c>
      <c r="C59" s="294">
        <f>IF(ISNA(VLOOKUP(A59,'Listado de Artículos'!$B$16:$F$1328,5,0)),0,(VLOOKUP(A59,'Listado de Artículos'!$B$16:$F$1328,5,0)))</f>
        <v>0</v>
      </c>
      <c r="D59" s="265">
        <v>1</v>
      </c>
      <c r="E59" s="265">
        <v>1</v>
      </c>
      <c r="F59" s="264">
        <f>IF(D59&gt;0,(E59/D59),"")</f>
        <v>1</v>
      </c>
      <c r="G59" s="264">
        <f>IF(D59&gt;0,(100%-F59),"")</f>
        <v>0</v>
      </c>
      <c r="H59" s="265">
        <f>IF(B59&gt;0,(G59*B59/F59),"")</f>
        <v>0</v>
      </c>
      <c r="I59" s="265">
        <f>IF(B59&gt;0,(B59+H59),"")</f>
        <v>2</v>
      </c>
      <c r="J59" s="211" t="str">
        <f>IF(C59&gt;0,(C59*I59),"")</f>
        <v/>
      </c>
    </row>
    <row r="60" spans="1:13" ht="13.2" customHeight="1" x14ac:dyDescent="0.25">
      <c r="A60" s="222"/>
      <c r="B60" s="222"/>
      <c r="C60" s="222"/>
      <c r="D60" s="222"/>
      <c r="E60" s="222"/>
      <c r="F60" s="222"/>
      <c r="G60" s="222"/>
      <c r="H60" s="222"/>
      <c r="I60" s="222"/>
      <c r="J60" s="222"/>
      <c r="M60" s="225">
        <f>9.25/32</f>
        <v>0.2890625</v>
      </c>
    </row>
    <row r="62" spans="1:13" ht="15.6" customHeight="1" x14ac:dyDescent="0.3">
      <c r="A62" s="259"/>
      <c r="B62" s="213" t="s">
        <v>407</v>
      </c>
      <c r="C62" s="332" t="s">
        <v>479</v>
      </c>
      <c r="D62" s="310"/>
      <c r="E62" s="310"/>
      <c r="F62" s="310"/>
      <c r="G62" s="310"/>
      <c r="H62" s="310"/>
      <c r="I62" s="310"/>
      <c r="J62" s="310"/>
    </row>
    <row r="63" spans="1:13" ht="15.6" customHeight="1" x14ac:dyDescent="0.3">
      <c r="A63" s="212"/>
      <c r="B63" s="214" t="s">
        <v>409</v>
      </c>
      <c r="C63" s="335" t="s">
        <v>425</v>
      </c>
      <c r="D63" s="312"/>
      <c r="E63" s="312"/>
      <c r="F63" s="313"/>
      <c r="G63" s="333" t="s">
        <v>426</v>
      </c>
      <c r="H63" s="315"/>
      <c r="I63" s="336"/>
      <c r="J63" s="308"/>
    </row>
    <row r="64" spans="1:13" ht="15.6" customHeight="1" x14ac:dyDescent="0.3">
      <c r="A64" s="259"/>
      <c r="B64" s="215" t="s">
        <v>411</v>
      </c>
      <c r="C64" s="216">
        <v>1</v>
      </c>
      <c r="D64" s="331" t="s">
        <v>412</v>
      </c>
      <c r="E64" s="318"/>
      <c r="F64" s="217">
        <f>SUM(J67:J69)</f>
        <v>6.2984999999999998</v>
      </c>
      <c r="G64" s="330" t="s">
        <v>427</v>
      </c>
      <c r="H64" s="315"/>
      <c r="I64" s="295">
        <f>F64/C64</f>
        <v>6.2984999999999998</v>
      </c>
      <c r="J64" s="296"/>
    </row>
    <row r="65" spans="1:10" ht="13.2" customHeight="1" x14ac:dyDescent="0.25">
      <c r="A65" s="259"/>
      <c r="B65" s="259"/>
      <c r="C65" s="259"/>
      <c r="D65" s="259"/>
      <c r="E65" s="259"/>
      <c r="F65" s="259"/>
      <c r="G65" s="259"/>
      <c r="H65" s="259"/>
      <c r="I65" s="259"/>
      <c r="J65" s="259"/>
    </row>
    <row r="66" spans="1:10" ht="13.8" customHeight="1" x14ac:dyDescent="0.3">
      <c r="A66" s="218" t="s">
        <v>414</v>
      </c>
      <c r="B66" s="219" t="s">
        <v>415</v>
      </c>
      <c r="C66" s="219" t="s">
        <v>416</v>
      </c>
      <c r="D66" s="219" t="s">
        <v>417</v>
      </c>
      <c r="E66" s="219" t="s">
        <v>418</v>
      </c>
      <c r="F66" s="219" t="s">
        <v>419</v>
      </c>
      <c r="G66" s="219" t="s">
        <v>420</v>
      </c>
      <c r="H66" s="219" t="s">
        <v>421</v>
      </c>
      <c r="I66" s="219" t="s">
        <v>422</v>
      </c>
      <c r="J66" s="220" t="s">
        <v>423</v>
      </c>
    </row>
    <row r="67" spans="1:10" ht="13.8" customHeight="1" x14ac:dyDescent="0.3">
      <c r="A67" s="221" t="s">
        <v>381</v>
      </c>
      <c r="B67" s="265">
        <v>0.5</v>
      </c>
      <c r="C67" s="294">
        <f>IF(ISNA(VLOOKUP(A67,'Listado de Artículos'!$B$16:$F$1328,5,0)),0,(VLOOKUP(A67,'Listado de Artículos'!$B$16:$F$1328,5,0)))</f>
        <v>10.5</v>
      </c>
      <c r="D67" s="265">
        <v>1</v>
      </c>
      <c r="E67" s="265">
        <v>1</v>
      </c>
      <c r="F67" s="264">
        <f>IF(D67&gt;0,(E67/D67),"")</f>
        <v>1</v>
      </c>
      <c r="G67" s="264">
        <f>IF(D67&gt;0,(100%-F67),"")</f>
        <v>0</v>
      </c>
      <c r="H67" s="265">
        <f>IF(B67&gt;0,(G67*B67/F67),"")</f>
        <v>0</v>
      </c>
      <c r="I67" s="265">
        <f>IF(B67&gt;0,(B67+H67),"")</f>
        <v>0.5</v>
      </c>
      <c r="J67" s="211">
        <f>IF(C67&gt;0,(C67*I67),"")</f>
        <v>5.25</v>
      </c>
    </row>
    <row r="68" spans="1:10" ht="13.8" customHeight="1" x14ac:dyDescent="0.3">
      <c r="A68" s="221" t="s">
        <v>280</v>
      </c>
      <c r="B68" s="265">
        <v>0.3</v>
      </c>
      <c r="C68" s="294">
        <f>IF(ISNA(VLOOKUP(A68,'Listado de Artículos'!$B$16:$F$1328,5,0)),0,(VLOOKUP(A68,'Listado de Artículos'!$B$16:$F$1328,5,0)))</f>
        <v>2</v>
      </c>
      <c r="D68" s="265">
        <v>1</v>
      </c>
      <c r="E68" s="265">
        <v>1</v>
      </c>
      <c r="F68" s="264">
        <f>IF(D68&gt;0,(E68/D68),"")</f>
        <v>1</v>
      </c>
      <c r="G68" s="264">
        <f>IF(D68&gt;0,(100%-F68),"")</f>
        <v>0</v>
      </c>
      <c r="H68" s="265">
        <f>IF(B68&gt;0,(G68*B68/F68),"")</f>
        <v>0</v>
      </c>
      <c r="I68" s="265">
        <f>IF(B68&gt;0,(B68+H68),"")</f>
        <v>0.3</v>
      </c>
      <c r="J68" s="211">
        <f>IF(C68&gt;0,(C68*I68),"")</f>
        <v>0.6</v>
      </c>
    </row>
    <row r="69" spans="1:10" ht="13.8" customHeight="1" x14ac:dyDescent="0.3">
      <c r="A69" s="221" t="s">
        <v>43</v>
      </c>
      <c r="B69" s="265">
        <v>0.05</v>
      </c>
      <c r="C69" s="294">
        <f>IF(ISNA(VLOOKUP(A69,'Listado de Artículos'!$B$16:$F$1328,5,0)),0,(VLOOKUP(A69,'Listado de Artículos'!$B$16:$F$1328,5,0)))</f>
        <v>8.9700000000000006</v>
      </c>
      <c r="D69" s="265">
        <v>1</v>
      </c>
      <c r="E69" s="265">
        <v>1</v>
      </c>
      <c r="F69" s="264">
        <f>IF(D69&gt;0,(E69/D69),"")</f>
        <v>1</v>
      </c>
      <c r="G69" s="264">
        <f>IF(D69&gt;0,(100%-F69),"")</f>
        <v>0</v>
      </c>
      <c r="H69" s="265">
        <f>IF(B69&gt;0,(G69*B69/F69),"")</f>
        <v>0</v>
      </c>
      <c r="I69" s="265">
        <f>IF(B69&gt;0,(B69+H69),"")</f>
        <v>0.05</v>
      </c>
      <c r="J69" s="211">
        <f>IF(C69&gt;0,(C69*I69),"")</f>
        <v>0.44850000000000007</v>
      </c>
    </row>
    <row r="70" spans="1:10" ht="13.2" customHeight="1" x14ac:dyDescent="0.25">
      <c r="A70" s="222"/>
      <c r="B70" s="222"/>
      <c r="C70" s="222"/>
      <c r="D70" s="222"/>
      <c r="E70" s="222"/>
      <c r="F70" s="222"/>
      <c r="G70" s="222"/>
      <c r="H70" s="222"/>
      <c r="I70" s="222"/>
      <c r="J70" s="222"/>
    </row>
    <row r="73" spans="1:10" ht="15.6" customHeight="1" x14ac:dyDescent="0.3">
      <c r="A73" s="259"/>
      <c r="B73" s="213" t="s">
        <v>407</v>
      </c>
      <c r="C73" s="332" t="s">
        <v>375</v>
      </c>
      <c r="D73" s="310"/>
      <c r="E73" s="310"/>
      <c r="F73" s="310"/>
      <c r="G73" s="310"/>
      <c r="H73" s="310"/>
      <c r="I73" s="310"/>
      <c r="J73" s="310"/>
    </row>
    <row r="74" spans="1:10" ht="15.6" customHeight="1" x14ac:dyDescent="0.3">
      <c r="A74" s="212"/>
      <c r="B74" s="214" t="s">
        <v>409</v>
      </c>
      <c r="C74" s="335" t="s">
        <v>425</v>
      </c>
      <c r="D74" s="312"/>
      <c r="E74" s="312"/>
      <c r="F74" s="313"/>
      <c r="G74" s="333" t="s">
        <v>426</v>
      </c>
      <c r="H74" s="315"/>
      <c r="I74" s="336"/>
      <c r="J74" s="308"/>
    </row>
    <row r="75" spans="1:10" ht="15.6" customHeight="1" x14ac:dyDescent="0.3">
      <c r="A75" s="259"/>
      <c r="B75" s="215" t="s">
        <v>411</v>
      </c>
      <c r="C75" s="216">
        <v>10</v>
      </c>
      <c r="D75" s="331" t="s">
        <v>412</v>
      </c>
      <c r="E75" s="318"/>
      <c r="F75" s="217">
        <f>SUM(J78:J82)</f>
        <v>9.1340000000000003</v>
      </c>
      <c r="G75" s="330" t="s">
        <v>427</v>
      </c>
      <c r="H75" s="315"/>
      <c r="I75" s="295">
        <f>F75/C75</f>
        <v>0.91339999999999999</v>
      </c>
      <c r="J75" s="296"/>
    </row>
    <row r="76" spans="1:10" ht="13.2" customHeight="1" x14ac:dyDescent="0.25">
      <c r="A76" s="259"/>
      <c r="B76" s="259"/>
      <c r="C76" s="259"/>
      <c r="D76" s="259"/>
      <c r="E76" s="259"/>
      <c r="F76" s="259"/>
      <c r="G76" s="259"/>
      <c r="H76" s="259"/>
      <c r="I76" s="259"/>
      <c r="J76" s="259"/>
    </row>
    <row r="77" spans="1:10" ht="13.8" customHeight="1" x14ac:dyDescent="0.3">
      <c r="A77" s="218" t="s">
        <v>414</v>
      </c>
      <c r="B77" s="219" t="s">
        <v>415</v>
      </c>
      <c r="C77" s="219" t="s">
        <v>416</v>
      </c>
      <c r="D77" s="219" t="s">
        <v>417</v>
      </c>
      <c r="E77" s="219" t="s">
        <v>418</v>
      </c>
      <c r="F77" s="219" t="s">
        <v>419</v>
      </c>
      <c r="G77" s="219" t="s">
        <v>420</v>
      </c>
      <c r="H77" s="219" t="s">
        <v>421</v>
      </c>
      <c r="I77" s="219" t="s">
        <v>422</v>
      </c>
      <c r="J77" s="220" t="s">
        <v>423</v>
      </c>
    </row>
    <row r="78" spans="1:10" ht="13.8" customHeight="1" x14ac:dyDescent="0.3">
      <c r="A78" s="221" t="s">
        <v>305</v>
      </c>
      <c r="B78" s="265">
        <v>0.4</v>
      </c>
      <c r="C78" s="294">
        <f>IF(ISNA(VLOOKUP(A78,'Listado de Artículos'!$B$16:$F$1328,5,0)),0,(VLOOKUP(A78,'Listado de Artículos'!$B$16:$F$1328,5,0)))</f>
        <v>0.03</v>
      </c>
      <c r="D78" s="265">
        <v>1</v>
      </c>
      <c r="E78" s="265">
        <v>1</v>
      </c>
      <c r="F78" s="264">
        <f>IF(D78&gt;0,(E78/D78),"")</f>
        <v>1</v>
      </c>
      <c r="G78" s="264">
        <f>IF(D78&gt;0,(100%-F78),"")</f>
        <v>0</v>
      </c>
      <c r="H78" s="265">
        <f>IF(B78&gt;0,(G78*B78/F78),"")</f>
        <v>0</v>
      </c>
      <c r="I78" s="265">
        <f>IF(B78&gt;0,(B78+H78),"")</f>
        <v>0.4</v>
      </c>
      <c r="J78" s="211">
        <f>IF(C78&gt;0,(C78*I78),"")</f>
        <v>1.2E-2</v>
      </c>
    </row>
    <row r="79" spans="1:10" ht="13.8" customHeight="1" x14ac:dyDescent="0.3">
      <c r="A79" s="221" t="s">
        <v>307</v>
      </c>
      <c r="B79" s="265">
        <v>0.7</v>
      </c>
      <c r="C79" s="294">
        <f>IF(ISNA(VLOOKUP(A79,'Listado de Artículos'!$B$16:$F$1328,5,0)),0,(VLOOKUP(A79,'Listado de Artículos'!$B$16:$F$1328,5,0)))</f>
        <v>0.01</v>
      </c>
      <c r="D79" s="265">
        <v>1</v>
      </c>
      <c r="E79" s="265">
        <v>1</v>
      </c>
      <c r="F79" s="264">
        <f>IF(D79&gt;0,(E79/D79),"")</f>
        <v>1</v>
      </c>
      <c r="G79" s="264">
        <f>IF(D79&gt;0,(100%-F79),"")</f>
        <v>0</v>
      </c>
      <c r="H79" s="265">
        <f>IF(B79&gt;0,(G79*B79/F79),"")</f>
        <v>0</v>
      </c>
      <c r="I79" s="265">
        <f>IF(B79&gt;0,(B79+H79),"")</f>
        <v>0.7</v>
      </c>
      <c r="J79" s="211">
        <f>IF(C79&gt;0,(C79*I79),"")</f>
        <v>6.9999999999999993E-3</v>
      </c>
    </row>
    <row r="80" spans="1:10" ht="13.8" customHeight="1" x14ac:dyDescent="0.3">
      <c r="A80" s="221" t="s">
        <v>306</v>
      </c>
      <c r="B80" s="265">
        <v>0.2</v>
      </c>
      <c r="C80" s="294">
        <f>IF(ISNA(VLOOKUP(A80,'Listado de Artículos'!$B$16:$F$1328,5,0)),0,(VLOOKUP(A80,'Listado de Artículos'!$B$16:$F$1328,5,0)))</f>
        <v>2.95</v>
      </c>
      <c r="D80" s="265">
        <v>1</v>
      </c>
      <c r="E80" s="265">
        <v>1</v>
      </c>
      <c r="F80" s="264">
        <f>IF(D80&gt;0,(E80/D80),"")</f>
        <v>1</v>
      </c>
      <c r="G80" s="264">
        <f>IF(D80&gt;0,(100%-F80),"")</f>
        <v>0</v>
      </c>
      <c r="H80" s="265">
        <f>IF(B80&gt;0,(G80*B80/F80),"")</f>
        <v>0</v>
      </c>
      <c r="I80" s="265">
        <f>IF(B80&gt;0,(B80+H80),"")</f>
        <v>0.2</v>
      </c>
      <c r="J80" s="211">
        <f>IF(C80&gt;0,(C80*I80),"")</f>
        <v>0.59000000000000008</v>
      </c>
    </row>
    <row r="81" spans="1:10" ht="13.8" customHeight="1" x14ac:dyDescent="0.3">
      <c r="A81" s="221" t="s">
        <v>269</v>
      </c>
      <c r="B81" s="265">
        <v>0.5</v>
      </c>
      <c r="C81" s="294">
        <f>IF(ISNA(VLOOKUP(A81,'Listado de Artículos'!$B$16:$F$1328,5,0)),0,(VLOOKUP(A81,'Listado de Artículos'!$B$16:$F$1328,5,0)))</f>
        <v>17.05</v>
      </c>
      <c r="D81" s="265">
        <v>1</v>
      </c>
      <c r="E81" s="265">
        <v>1</v>
      </c>
      <c r="F81" s="264">
        <f>IF(D81&gt;0,(E81/D81),"")</f>
        <v>1</v>
      </c>
      <c r="G81" s="264">
        <f>IF(D81&gt;0,(100%-F81),"")</f>
        <v>0</v>
      </c>
      <c r="H81" s="265">
        <f>IF(B81&gt;0,(G81*B81/F81),"")</f>
        <v>0</v>
      </c>
      <c r="I81" s="265">
        <f>IF(B81&gt;0,(B81+H81),"")</f>
        <v>0.5</v>
      </c>
      <c r="J81" s="211">
        <f>IF(C81&gt;0,(C81*I81),"")</f>
        <v>8.5250000000000004</v>
      </c>
    </row>
    <row r="82" spans="1:10" ht="13.8" customHeight="1" x14ac:dyDescent="0.3">
      <c r="A82" s="221" t="s">
        <v>1</v>
      </c>
      <c r="B82" s="265">
        <v>0.14000000000000001</v>
      </c>
      <c r="C82" s="294">
        <f>IF(ISNA(VLOOKUP(A82,'Listado de Artículos'!$B$16:$F$1328,5,0)),0,(VLOOKUP(A82,'Listado de Artículos'!$B$16:$F$1328,5,0)))</f>
        <v>0</v>
      </c>
      <c r="D82" s="265">
        <v>1</v>
      </c>
      <c r="E82" s="265">
        <v>1</v>
      </c>
      <c r="F82" s="264">
        <f>IF(D82&gt;0,(E82/D82),"")</f>
        <v>1</v>
      </c>
      <c r="G82" s="264">
        <f>IF(D82&gt;0,(100%-F82),"")</f>
        <v>0</v>
      </c>
      <c r="H82" s="265">
        <f>IF(B82&gt;0,(G82*B82/F82),"")</f>
        <v>0</v>
      </c>
      <c r="I82" s="265">
        <f>IF(B82&gt;0,(B82+H82),"")</f>
        <v>0.14000000000000001</v>
      </c>
      <c r="J82" s="211" t="str">
        <f>IF(C82&gt;0,(C82*I82),"")</f>
        <v/>
      </c>
    </row>
    <row r="83" spans="1:10" ht="13.2" customHeight="1" x14ac:dyDescent="0.25">
      <c r="A83" s="222"/>
      <c r="B83" s="222"/>
      <c r="C83" s="222"/>
      <c r="D83" s="222"/>
      <c r="E83" s="222"/>
      <c r="F83" s="222"/>
      <c r="G83" s="222"/>
      <c r="H83" s="222"/>
      <c r="I83" s="222"/>
      <c r="J83" s="222"/>
    </row>
    <row r="86" spans="1:10" ht="15.6" customHeight="1" x14ac:dyDescent="0.3">
      <c r="A86" s="259"/>
      <c r="B86" s="213" t="s">
        <v>407</v>
      </c>
      <c r="C86" s="332" t="s">
        <v>376</v>
      </c>
      <c r="D86" s="310"/>
      <c r="E86" s="310"/>
      <c r="F86" s="310"/>
      <c r="G86" s="310"/>
      <c r="H86" s="310"/>
      <c r="I86" s="310"/>
      <c r="J86" s="310"/>
    </row>
    <row r="87" spans="1:10" ht="15.6" customHeight="1" x14ac:dyDescent="0.3">
      <c r="A87" s="212"/>
      <c r="B87" s="214" t="s">
        <v>409</v>
      </c>
      <c r="C87" s="335" t="s">
        <v>425</v>
      </c>
      <c r="D87" s="312"/>
      <c r="E87" s="312"/>
      <c r="F87" s="313"/>
      <c r="G87" s="333" t="s">
        <v>426</v>
      </c>
      <c r="H87" s="315"/>
      <c r="I87" s="336"/>
      <c r="J87" s="308"/>
    </row>
    <row r="88" spans="1:10" ht="15.6" customHeight="1" x14ac:dyDescent="0.3">
      <c r="A88" s="259"/>
      <c r="B88" s="215" t="s">
        <v>411</v>
      </c>
      <c r="C88" s="216">
        <v>58</v>
      </c>
      <c r="D88" s="331" t="s">
        <v>412</v>
      </c>
      <c r="E88" s="318"/>
      <c r="F88" s="217">
        <f>SUM(J91:J96)</f>
        <v>43.856000000000002</v>
      </c>
      <c r="G88" s="330" t="s">
        <v>427</v>
      </c>
      <c r="H88" s="315"/>
      <c r="I88" s="295">
        <f>F88/C88</f>
        <v>0.75613793103448279</v>
      </c>
      <c r="J88" s="296"/>
    </row>
    <row r="89" spans="1:10" ht="13.2" customHeight="1" x14ac:dyDescent="0.25">
      <c r="A89" s="259"/>
      <c r="B89" s="259"/>
      <c r="C89" s="259"/>
      <c r="D89" s="259"/>
      <c r="E89" s="259"/>
      <c r="F89" s="259"/>
      <c r="G89" s="259"/>
      <c r="H89" s="259"/>
      <c r="I89" s="259"/>
      <c r="J89" s="259"/>
    </row>
    <row r="90" spans="1:10" ht="13.8" customHeight="1" x14ac:dyDescent="0.3">
      <c r="A90" s="218" t="s">
        <v>414</v>
      </c>
      <c r="B90" s="219" t="s">
        <v>415</v>
      </c>
      <c r="C90" s="219" t="s">
        <v>416</v>
      </c>
      <c r="D90" s="219" t="s">
        <v>417</v>
      </c>
      <c r="E90" s="219" t="s">
        <v>418</v>
      </c>
      <c r="F90" s="219" t="s">
        <v>419</v>
      </c>
      <c r="G90" s="219" t="s">
        <v>420</v>
      </c>
      <c r="H90" s="219" t="s">
        <v>421</v>
      </c>
      <c r="I90" s="219" t="s">
        <v>422</v>
      </c>
      <c r="J90" s="220" t="s">
        <v>423</v>
      </c>
    </row>
    <row r="91" spans="1:10" ht="13.8" customHeight="1" x14ac:dyDescent="0.3">
      <c r="A91" s="221" t="s">
        <v>367</v>
      </c>
      <c r="B91" s="265">
        <v>3</v>
      </c>
      <c r="C91" s="294">
        <f>IF(ISNA(VLOOKUP(A91,'Listado de Artículos'!$B$16:$F$1328,5,0)),0,(VLOOKUP(A91,'Listado de Artículos'!$B$16:$F$1328,5,0)))</f>
        <v>10.5</v>
      </c>
      <c r="D91" s="265">
        <v>1</v>
      </c>
      <c r="E91" s="265">
        <v>1</v>
      </c>
      <c r="F91" s="264">
        <f t="shared" ref="F91:F96" si="5">IF(D91&gt;0,(E91/D91),"")</f>
        <v>1</v>
      </c>
      <c r="G91" s="264">
        <f t="shared" ref="G91:G96" si="6">IF(D91&gt;0,(100%-F91),"")</f>
        <v>0</v>
      </c>
      <c r="H91" s="265">
        <f t="shared" ref="H91:H96" si="7">IF(B91&gt;0,(G91*B91/F91),"")</f>
        <v>0</v>
      </c>
      <c r="I91" s="265">
        <f t="shared" ref="I91:I96" si="8">IF(B91&gt;0,(B91+H91),"")</f>
        <v>3</v>
      </c>
      <c r="J91" s="211">
        <f t="shared" ref="J91:J96" si="9">IF(C91&gt;0,(C91*I91),"")</f>
        <v>31.5</v>
      </c>
    </row>
    <row r="92" spans="1:10" ht="13.8" customHeight="1" x14ac:dyDescent="0.3">
      <c r="A92" s="221" t="s">
        <v>368</v>
      </c>
      <c r="B92" s="265">
        <v>1</v>
      </c>
      <c r="C92" s="294">
        <f>IF(ISNA(VLOOKUP(A92,'Listado de Artículos'!$B$16:$F$1328,5,0)),0,(VLOOKUP(A92,'Listado de Artículos'!$B$16:$F$1328,5,0)))</f>
        <v>6.35</v>
      </c>
      <c r="D92" s="265">
        <v>1</v>
      </c>
      <c r="E92" s="265">
        <v>1</v>
      </c>
      <c r="F92" s="264">
        <f t="shared" si="5"/>
        <v>1</v>
      </c>
      <c r="G92" s="264">
        <f t="shared" si="6"/>
        <v>0</v>
      </c>
      <c r="H92" s="265">
        <f t="shared" si="7"/>
        <v>0</v>
      </c>
      <c r="I92" s="265">
        <f t="shared" si="8"/>
        <v>1</v>
      </c>
      <c r="J92" s="211">
        <f t="shared" si="9"/>
        <v>6.35</v>
      </c>
    </row>
    <row r="93" spans="1:10" ht="13.8" customHeight="1" x14ac:dyDescent="0.3">
      <c r="A93" s="221" t="s">
        <v>212</v>
      </c>
      <c r="B93" s="265">
        <v>0.5</v>
      </c>
      <c r="C93" s="294">
        <f>IF(ISNA(VLOOKUP(A93,'Listado de Artículos'!$B$16:$F$1328,5,0)),0,(VLOOKUP(A93,'Listado de Artículos'!$B$16:$F$1328,5,0)))</f>
        <v>2.19</v>
      </c>
      <c r="D93" s="265">
        <v>1</v>
      </c>
      <c r="E93" s="265">
        <v>1</v>
      </c>
      <c r="F93" s="264">
        <f t="shared" si="5"/>
        <v>1</v>
      </c>
      <c r="G93" s="264">
        <f t="shared" si="6"/>
        <v>0</v>
      </c>
      <c r="H93" s="265">
        <f t="shared" si="7"/>
        <v>0</v>
      </c>
      <c r="I93" s="265">
        <f t="shared" si="8"/>
        <v>0.5</v>
      </c>
      <c r="J93" s="211">
        <f t="shared" si="9"/>
        <v>1.095</v>
      </c>
    </row>
    <row r="94" spans="1:10" ht="13.8" customHeight="1" x14ac:dyDescent="0.3">
      <c r="A94" s="221" t="s">
        <v>51</v>
      </c>
      <c r="B94" s="265">
        <v>0.5</v>
      </c>
      <c r="C94" s="294">
        <f>IF(ISNA(VLOOKUP(A94,'Listado de Artículos'!$B$16:$F$1328,5,0)),0,(VLOOKUP(A94,'Listado de Artículos'!$B$16:$F$1328,5,0)))</f>
        <v>5.65</v>
      </c>
      <c r="D94" s="265">
        <v>1</v>
      </c>
      <c r="E94" s="265">
        <v>1</v>
      </c>
      <c r="F94" s="264">
        <f t="shared" si="5"/>
        <v>1</v>
      </c>
      <c r="G94" s="264">
        <f t="shared" si="6"/>
        <v>0</v>
      </c>
      <c r="H94" s="265">
        <f t="shared" si="7"/>
        <v>0</v>
      </c>
      <c r="I94" s="265">
        <f t="shared" si="8"/>
        <v>0.5</v>
      </c>
      <c r="J94" s="211">
        <f t="shared" si="9"/>
        <v>2.8250000000000002</v>
      </c>
    </row>
    <row r="95" spans="1:10" ht="13.8" customHeight="1" x14ac:dyDescent="0.3">
      <c r="A95" s="221" t="s">
        <v>240</v>
      </c>
      <c r="B95" s="265">
        <v>0.1</v>
      </c>
      <c r="C95" s="294">
        <f>IF(ISNA(VLOOKUP(A95,'Listado de Artículos'!$B$16:$F$1328,5,0)),0,(VLOOKUP(A95,'Listado de Artículos'!$B$16:$F$1328,5,0)))</f>
        <v>16.72</v>
      </c>
      <c r="D95" s="265">
        <v>1</v>
      </c>
      <c r="E95" s="265">
        <v>1</v>
      </c>
      <c r="F95" s="264">
        <f t="shared" si="5"/>
        <v>1</v>
      </c>
      <c r="G95" s="264">
        <f t="shared" si="6"/>
        <v>0</v>
      </c>
      <c r="H95" s="265">
        <f t="shared" si="7"/>
        <v>0</v>
      </c>
      <c r="I95" s="265">
        <f t="shared" si="8"/>
        <v>0.1</v>
      </c>
      <c r="J95" s="211">
        <f t="shared" si="9"/>
        <v>1.6719999999999999</v>
      </c>
    </row>
    <row r="96" spans="1:10" ht="13.8" customHeight="1" x14ac:dyDescent="0.3">
      <c r="A96" s="221" t="s">
        <v>231</v>
      </c>
      <c r="B96" s="265">
        <v>0.3</v>
      </c>
      <c r="C96" s="294">
        <f>IF(ISNA(VLOOKUP(A96,'Listado de Artículos'!$B$16:$F$1328,5,0)),0,(VLOOKUP(A96,'Listado de Artículos'!$B$16:$F$1328,5,0)))</f>
        <v>1.38</v>
      </c>
      <c r="D96" s="265">
        <v>1</v>
      </c>
      <c r="E96" s="265">
        <v>1</v>
      </c>
      <c r="F96" s="264">
        <f t="shared" si="5"/>
        <v>1</v>
      </c>
      <c r="G96" s="264">
        <f t="shared" si="6"/>
        <v>0</v>
      </c>
      <c r="H96" s="265">
        <f t="shared" si="7"/>
        <v>0</v>
      </c>
      <c r="I96" s="265">
        <f t="shared" si="8"/>
        <v>0.3</v>
      </c>
      <c r="J96" s="211">
        <f t="shared" si="9"/>
        <v>0.41399999999999998</v>
      </c>
    </row>
    <row r="97" spans="1:10" ht="13.2" customHeight="1" x14ac:dyDescent="0.25">
      <c r="A97" s="222"/>
      <c r="B97" s="222"/>
      <c r="C97" s="222"/>
      <c r="D97" s="222"/>
      <c r="E97" s="222"/>
      <c r="F97" s="222"/>
      <c r="G97" s="222"/>
      <c r="H97" s="222"/>
      <c r="I97" s="222"/>
      <c r="J97" s="222"/>
    </row>
    <row r="100" spans="1:10" ht="15.6" customHeight="1" x14ac:dyDescent="0.3">
      <c r="A100" s="259"/>
      <c r="B100" s="213" t="s">
        <v>407</v>
      </c>
      <c r="C100" s="332" t="s">
        <v>480</v>
      </c>
      <c r="D100" s="310"/>
      <c r="E100" s="310"/>
      <c r="F100" s="310"/>
      <c r="G100" s="310"/>
      <c r="H100" s="310"/>
      <c r="I100" s="310"/>
      <c r="J100" s="310"/>
    </row>
    <row r="101" spans="1:10" ht="15.6" customHeight="1" x14ac:dyDescent="0.3">
      <c r="A101" s="212"/>
      <c r="B101" s="214" t="s">
        <v>409</v>
      </c>
      <c r="C101" s="335" t="s">
        <v>425</v>
      </c>
      <c r="D101" s="312"/>
      <c r="E101" s="312"/>
      <c r="F101" s="313"/>
      <c r="G101" s="333" t="s">
        <v>426</v>
      </c>
      <c r="H101" s="315"/>
      <c r="I101" s="336"/>
      <c r="J101" s="308"/>
    </row>
    <row r="102" spans="1:10" ht="15.6" customHeight="1" x14ac:dyDescent="0.3">
      <c r="A102" s="259"/>
      <c r="B102" s="215" t="s">
        <v>411</v>
      </c>
      <c r="C102" s="216">
        <v>58</v>
      </c>
      <c r="D102" s="331" t="s">
        <v>412</v>
      </c>
      <c r="E102" s="318"/>
      <c r="F102" s="217">
        <f>SUM(J105:J113)</f>
        <v>101.8475</v>
      </c>
      <c r="G102" s="330" t="s">
        <v>427</v>
      </c>
      <c r="H102" s="315"/>
      <c r="I102" s="295">
        <f>F102/C102</f>
        <v>1.7559913793103448</v>
      </c>
      <c r="J102" s="296"/>
    </row>
    <row r="103" spans="1:10" ht="13.2" customHeight="1" x14ac:dyDescent="0.25">
      <c r="A103" s="259"/>
      <c r="B103" s="259"/>
      <c r="C103" s="259"/>
      <c r="D103" s="259"/>
      <c r="E103" s="259"/>
      <c r="F103" s="259"/>
      <c r="G103" s="259"/>
      <c r="H103" s="259"/>
      <c r="I103" s="259"/>
      <c r="J103" s="259"/>
    </row>
    <row r="104" spans="1:10" ht="13.8" customHeight="1" x14ac:dyDescent="0.3">
      <c r="A104" s="218" t="s">
        <v>414</v>
      </c>
      <c r="B104" s="219" t="s">
        <v>415</v>
      </c>
      <c r="C104" s="219" t="s">
        <v>416</v>
      </c>
      <c r="D104" s="219" t="s">
        <v>417</v>
      </c>
      <c r="E104" s="219" t="s">
        <v>418</v>
      </c>
      <c r="F104" s="219" t="s">
        <v>419</v>
      </c>
      <c r="G104" s="219" t="s">
        <v>420</v>
      </c>
      <c r="H104" s="219" t="s">
        <v>421</v>
      </c>
      <c r="I104" s="219" t="s">
        <v>422</v>
      </c>
      <c r="J104" s="220" t="s">
        <v>423</v>
      </c>
    </row>
    <row r="105" spans="1:10" ht="13.8" customHeight="1" x14ac:dyDescent="0.3">
      <c r="A105" s="221" t="s">
        <v>348</v>
      </c>
      <c r="B105" s="265">
        <v>15</v>
      </c>
      <c r="C105" s="294">
        <f>IF(ISNA(VLOOKUP(A105,'Listado de Artículos'!$B$16:$F$1328,5,0)),0,(VLOOKUP(A105,'Listado de Artículos'!$B$16:$F$1328,5,0)))</f>
        <v>1.5</v>
      </c>
      <c r="D105" s="265">
        <v>1</v>
      </c>
      <c r="E105" s="265">
        <v>1</v>
      </c>
      <c r="F105" s="264">
        <f t="shared" ref="F105:F113" si="10">IF(D105&gt;0,(E105/D105),"")</f>
        <v>1</v>
      </c>
      <c r="G105" s="264">
        <f t="shared" ref="G105:G113" si="11">IF(D105&gt;0,(100%-F105),"")</f>
        <v>0</v>
      </c>
      <c r="H105" s="265">
        <f t="shared" ref="H105:H113" si="12">IF(B105&gt;0,(G105*B105/F105),"")</f>
        <v>0</v>
      </c>
      <c r="I105" s="265">
        <f t="shared" ref="I105:I113" si="13">IF(B105&gt;0,(B105+H105),"")</f>
        <v>15</v>
      </c>
      <c r="J105" s="211">
        <f t="shared" ref="J105:J113" si="14">IF(C105&gt;0,(C105*I105),"")</f>
        <v>22.5</v>
      </c>
    </row>
    <row r="106" spans="1:10" ht="13.8" customHeight="1" x14ac:dyDescent="0.3">
      <c r="A106" s="221" t="s">
        <v>59</v>
      </c>
      <c r="B106" s="265">
        <v>0.2</v>
      </c>
      <c r="C106" s="294">
        <f>IF(ISNA(VLOOKUP(A106,'Listado de Artículos'!$B$16:$F$1328,5,0)),0,(VLOOKUP(A106,'Listado de Artículos'!$B$16:$F$1328,5,0)))</f>
        <v>28.59</v>
      </c>
      <c r="D106" s="265">
        <v>1</v>
      </c>
      <c r="E106" s="265">
        <v>1</v>
      </c>
      <c r="F106" s="264">
        <f t="shared" si="10"/>
        <v>1</v>
      </c>
      <c r="G106" s="264">
        <f t="shared" si="11"/>
        <v>0</v>
      </c>
      <c r="H106" s="265">
        <f t="shared" si="12"/>
        <v>0</v>
      </c>
      <c r="I106" s="265">
        <f t="shared" si="13"/>
        <v>0.2</v>
      </c>
      <c r="J106" s="211">
        <f t="shared" si="14"/>
        <v>5.718</v>
      </c>
    </row>
    <row r="107" spans="1:10" ht="13.8" customHeight="1" x14ac:dyDescent="0.3">
      <c r="A107" s="221" t="s">
        <v>136</v>
      </c>
      <c r="B107" s="265">
        <v>3</v>
      </c>
      <c r="C107" s="294">
        <f>IF(ISNA(VLOOKUP(A107,'Listado de Artículos'!$B$16:$F$1328,5,0)),0,(VLOOKUP(A107,'Listado de Artículos'!$B$16:$F$1328,5,0)))</f>
        <v>4.5</v>
      </c>
      <c r="D107" s="265">
        <v>1</v>
      </c>
      <c r="E107" s="265">
        <v>1</v>
      </c>
      <c r="F107" s="264">
        <f t="shared" si="10"/>
        <v>1</v>
      </c>
      <c r="G107" s="264">
        <f t="shared" si="11"/>
        <v>0</v>
      </c>
      <c r="H107" s="265">
        <f t="shared" si="12"/>
        <v>0</v>
      </c>
      <c r="I107" s="265">
        <f t="shared" si="13"/>
        <v>3</v>
      </c>
      <c r="J107" s="211">
        <f t="shared" si="14"/>
        <v>13.5</v>
      </c>
    </row>
    <row r="108" spans="1:10" ht="13.8" customHeight="1" x14ac:dyDescent="0.3">
      <c r="A108" s="221" t="s">
        <v>41</v>
      </c>
      <c r="B108" s="265">
        <v>0.35</v>
      </c>
      <c r="C108" s="294">
        <f>IF(ISNA(VLOOKUP(A108,'Listado de Artículos'!$B$16:$F$1328,5,0)),0,(VLOOKUP(A108,'Listado de Artículos'!$B$16:$F$1328,5,0)))</f>
        <v>5.95</v>
      </c>
      <c r="D108" s="265">
        <v>1</v>
      </c>
      <c r="E108" s="265">
        <v>1</v>
      </c>
      <c r="F108" s="264">
        <f t="shared" si="10"/>
        <v>1</v>
      </c>
      <c r="G108" s="264">
        <f t="shared" si="11"/>
        <v>0</v>
      </c>
      <c r="H108" s="265">
        <f t="shared" si="12"/>
        <v>0</v>
      </c>
      <c r="I108" s="265">
        <f t="shared" si="13"/>
        <v>0.35</v>
      </c>
      <c r="J108" s="211">
        <f t="shared" si="14"/>
        <v>2.0825</v>
      </c>
    </row>
    <row r="109" spans="1:10" ht="13.8" customHeight="1" x14ac:dyDescent="0.3">
      <c r="A109" s="221" t="s">
        <v>351</v>
      </c>
      <c r="B109" s="265">
        <v>0.14000000000000001</v>
      </c>
      <c r="C109" s="294">
        <f>IF(ISNA(VLOOKUP(A109,'Listado de Artículos'!$B$16:$F$1328,5,0)),0,(VLOOKUP(A109,'Listado de Artículos'!$B$16:$F$1328,5,0)))</f>
        <v>1.2</v>
      </c>
      <c r="D109" s="265">
        <v>1</v>
      </c>
      <c r="E109" s="265">
        <v>1</v>
      </c>
      <c r="F109" s="264">
        <f t="shared" si="10"/>
        <v>1</v>
      </c>
      <c r="G109" s="264">
        <f t="shared" si="11"/>
        <v>0</v>
      </c>
      <c r="H109" s="265">
        <f t="shared" si="12"/>
        <v>0</v>
      </c>
      <c r="I109" s="265">
        <f t="shared" si="13"/>
        <v>0.14000000000000001</v>
      </c>
      <c r="J109" s="211">
        <f t="shared" si="14"/>
        <v>0.16800000000000001</v>
      </c>
    </row>
    <row r="110" spans="1:10" ht="13.8" customHeight="1" x14ac:dyDescent="0.3">
      <c r="A110" s="221" t="s">
        <v>87</v>
      </c>
      <c r="B110" s="265">
        <v>0.05</v>
      </c>
      <c r="C110" s="294">
        <f>IF(ISNA(VLOOKUP(A110,'Listado de Artículos'!$B$16:$F$1328,5,0)),0,(VLOOKUP(A110,'Listado de Artículos'!$B$16:$F$1328,5,0)))</f>
        <v>0.82</v>
      </c>
      <c r="D110" s="265">
        <v>1</v>
      </c>
      <c r="E110" s="265">
        <v>1</v>
      </c>
      <c r="F110" s="264">
        <f t="shared" si="10"/>
        <v>1</v>
      </c>
      <c r="G110" s="264">
        <f t="shared" si="11"/>
        <v>0</v>
      </c>
      <c r="H110" s="265">
        <f t="shared" si="12"/>
        <v>0</v>
      </c>
      <c r="I110" s="265">
        <f t="shared" si="13"/>
        <v>0.05</v>
      </c>
      <c r="J110" s="211">
        <f t="shared" si="14"/>
        <v>4.1000000000000002E-2</v>
      </c>
    </row>
    <row r="111" spans="1:10" ht="13.8" customHeight="1" x14ac:dyDescent="0.3">
      <c r="A111" s="221" t="s">
        <v>326</v>
      </c>
      <c r="B111" s="265">
        <v>2</v>
      </c>
      <c r="C111" s="294">
        <f>IF(ISNA(VLOOKUP(A111,'Listado de Artículos'!$B$16:$F$1328,5,0)),0,(VLOOKUP(A111,'Listado de Artículos'!$B$16:$F$1328,5,0)))</f>
        <v>1.99</v>
      </c>
      <c r="D111" s="265">
        <v>1</v>
      </c>
      <c r="E111" s="265">
        <v>1</v>
      </c>
      <c r="F111" s="264">
        <f t="shared" si="10"/>
        <v>1</v>
      </c>
      <c r="G111" s="264">
        <f t="shared" si="11"/>
        <v>0</v>
      </c>
      <c r="H111" s="265">
        <f t="shared" si="12"/>
        <v>0</v>
      </c>
      <c r="I111" s="265">
        <f t="shared" si="13"/>
        <v>2</v>
      </c>
      <c r="J111" s="211">
        <f t="shared" si="14"/>
        <v>3.98</v>
      </c>
    </row>
    <row r="112" spans="1:10" ht="13.8" customHeight="1" x14ac:dyDescent="0.3">
      <c r="A112" s="221" t="s">
        <v>285</v>
      </c>
      <c r="B112" s="265">
        <v>0.2</v>
      </c>
      <c r="C112" s="294">
        <f>IF(ISNA(VLOOKUP(A112,'Listado de Artículos'!$B$16:$F$1328,5,0)),0,(VLOOKUP(A112,'Listado de Artículos'!$B$16:$F$1328,5,0)))</f>
        <v>17.29</v>
      </c>
      <c r="D112" s="265">
        <v>1</v>
      </c>
      <c r="E112" s="265">
        <v>1</v>
      </c>
      <c r="F112" s="264">
        <f t="shared" si="10"/>
        <v>1</v>
      </c>
      <c r="G112" s="264">
        <f t="shared" si="11"/>
        <v>0</v>
      </c>
      <c r="H112" s="265">
        <f t="shared" si="12"/>
        <v>0</v>
      </c>
      <c r="I112" s="265">
        <f t="shared" si="13"/>
        <v>0.2</v>
      </c>
      <c r="J112" s="211">
        <f t="shared" si="14"/>
        <v>3.4580000000000002</v>
      </c>
    </row>
    <row r="113" spans="1:10" ht="13.8" customHeight="1" x14ac:dyDescent="0.3">
      <c r="A113" s="221" t="s">
        <v>60</v>
      </c>
      <c r="B113" s="265">
        <v>2</v>
      </c>
      <c r="C113" s="294">
        <f>IF(ISNA(VLOOKUP(A113,'Listado de Artículos'!$B$16:$F$1328,5,0)),0,(VLOOKUP(A113,'Listado de Artículos'!$B$16:$F$1328,5,0)))</f>
        <v>25.2</v>
      </c>
      <c r="D113" s="265">
        <v>1</v>
      </c>
      <c r="E113" s="265">
        <v>1</v>
      </c>
      <c r="F113" s="264">
        <f t="shared" si="10"/>
        <v>1</v>
      </c>
      <c r="G113" s="264">
        <f t="shared" si="11"/>
        <v>0</v>
      </c>
      <c r="H113" s="265">
        <f t="shared" si="12"/>
        <v>0</v>
      </c>
      <c r="I113" s="265">
        <f t="shared" si="13"/>
        <v>2</v>
      </c>
      <c r="J113" s="211">
        <f t="shared" si="14"/>
        <v>50.4</v>
      </c>
    </row>
    <row r="114" spans="1:10" ht="13.2" customHeight="1" x14ac:dyDescent="0.25">
      <c r="A114" s="259"/>
      <c r="B114" s="329"/>
      <c r="C114" s="304"/>
      <c r="D114" s="304"/>
      <c r="E114" s="304"/>
      <c r="F114" s="304"/>
      <c r="G114" s="304"/>
      <c r="H114" s="304"/>
      <c r="I114" s="259"/>
      <c r="J114" s="259"/>
    </row>
    <row r="115" spans="1:10" ht="13.2" customHeight="1" x14ac:dyDescent="0.2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</row>
    <row r="117" spans="1:10" ht="15.6" customHeight="1" x14ac:dyDescent="0.3">
      <c r="A117" s="259"/>
      <c r="B117" s="213" t="s">
        <v>407</v>
      </c>
      <c r="C117" s="332" t="s">
        <v>378</v>
      </c>
      <c r="D117" s="310"/>
      <c r="E117" s="310"/>
      <c r="F117" s="310"/>
      <c r="G117" s="310"/>
      <c r="H117" s="310"/>
      <c r="I117" s="310"/>
      <c r="J117" s="310"/>
    </row>
    <row r="118" spans="1:10" ht="15.6" customHeight="1" x14ac:dyDescent="0.3">
      <c r="A118" s="212"/>
      <c r="B118" s="214" t="s">
        <v>409</v>
      </c>
      <c r="C118" s="335" t="s">
        <v>425</v>
      </c>
      <c r="D118" s="312"/>
      <c r="E118" s="312"/>
      <c r="F118" s="313"/>
      <c r="G118" s="333" t="s">
        <v>426</v>
      </c>
      <c r="H118" s="315"/>
      <c r="I118" s="336"/>
      <c r="J118" s="308"/>
    </row>
    <row r="119" spans="1:10" ht="15.6" customHeight="1" x14ac:dyDescent="0.3">
      <c r="A119" s="259"/>
      <c r="B119" s="215" t="s">
        <v>411</v>
      </c>
      <c r="C119" s="216">
        <v>58</v>
      </c>
      <c r="D119" s="331" t="s">
        <v>412</v>
      </c>
      <c r="E119" s="318"/>
      <c r="F119" s="217">
        <f>SUM(J122:J124)</f>
        <v>22.849999999999998</v>
      </c>
      <c r="G119" s="330" t="s">
        <v>427</v>
      </c>
      <c r="H119" s="315"/>
      <c r="I119" s="295">
        <f>F119/C119</f>
        <v>0.39396551724137929</v>
      </c>
      <c r="J119" s="296"/>
    </row>
    <row r="120" spans="1:10" ht="13.2" customHeight="1" x14ac:dyDescent="0.25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</row>
    <row r="121" spans="1:10" ht="13.8" customHeight="1" x14ac:dyDescent="0.3">
      <c r="A121" s="218" t="s">
        <v>414</v>
      </c>
      <c r="B121" s="219" t="s">
        <v>415</v>
      </c>
      <c r="C121" s="219" t="s">
        <v>416</v>
      </c>
      <c r="D121" s="219" t="s">
        <v>417</v>
      </c>
      <c r="E121" s="219" t="s">
        <v>418</v>
      </c>
      <c r="F121" s="219" t="s">
        <v>419</v>
      </c>
      <c r="G121" s="219" t="s">
        <v>420</v>
      </c>
      <c r="H121" s="219" t="s">
        <v>421</v>
      </c>
      <c r="I121" s="219" t="s">
        <v>422</v>
      </c>
      <c r="J121" s="220" t="s">
        <v>423</v>
      </c>
    </row>
    <row r="122" spans="1:10" ht="13.8" customHeight="1" x14ac:dyDescent="0.3">
      <c r="A122" s="221" t="s">
        <v>130</v>
      </c>
      <c r="B122" s="265">
        <v>6</v>
      </c>
      <c r="C122" s="294">
        <f>IF(ISNA(VLOOKUP(A122,'Listado de Artículos'!$B$16:$F$1328,5,0)),0,(VLOOKUP(A122,'Listado de Artículos'!$B$16:$F$1328,5,0)))</f>
        <v>2.5</v>
      </c>
      <c r="D122" s="265">
        <v>1</v>
      </c>
      <c r="E122" s="265">
        <v>1</v>
      </c>
      <c r="F122" s="264">
        <f>IF(D122&gt;0,(E122/D122),"")</f>
        <v>1</v>
      </c>
      <c r="G122" s="264">
        <f>IF(D122&gt;0,(100%-F122),"")</f>
        <v>0</v>
      </c>
      <c r="H122" s="265">
        <f>IF(B122&gt;0,(G122*B122/F122),"")</f>
        <v>0</v>
      </c>
      <c r="I122" s="265">
        <f>IF(B122&gt;0,(B122+H122),"")</f>
        <v>6</v>
      </c>
      <c r="J122" s="211">
        <f>IF(C122&gt;0,(C122*I122),"")</f>
        <v>15</v>
      </c>
    </row>
    <row r="123" spans="1:10" ht="13.8" customHeight="1" x14ac:dyDescent="0.3">
      <c r="A123" s="221" t="s">
        <v>268</v>
      </c>
      <c r="B123" s="265">
        <v>0.25</v>
      </c>
      <c r="C123" s="294">
        <f>IF(ISNA(VLOOKUP(A123,'Listado de Artículos'!$B$16:$F$1328,5,0)),0,(VLOOKUP(A123,'Listado de Artículos'!$B$16:$F$1328,5,0)))</f>
        <v>7.6</v>
      </c>
      <c r="D123" s="265">
        <v>1</v>
      </c>
      <c r="E123" s="265">
        <v>1</v>
      </c>
      <c r="F123" s="264">
        <f>IF(D123&gt;0,(E123/D123),"")</f>
        <v>1</v>
      </c>
      <c r="G123" s="264">
        <f>IF(D123&gt;0,(100%-F123),"")</f>
        <v>0</v>
      </c>
      <c r="H123" s="265">
        <f>IF(B123&gt;0,(G123*B123/F123),"")</f>
        <v>0</v>
      </c>
      <c r="I123" s="265">
        <f>IF(B123&gt;0,(B123+H123),"")</f>
        <v>0.25</v>
      </c>
      <c r="J123" s="211">
        <f>IF(C123&gt;0,(C123*I123),"")</f>
        <v>1.9</v>
      </c>
    </row>
    <row r="124" spans="1:10" ht="13.8" customHeight="1" x14ac:dyDescent="0.3">
      <c r="A124" s="221" t="s">
        <v>41</v>
      </c>
      <c r="B124" s="265">
        <v>1</v>
      </c>
      <c r="C124" s="294">
        <f>IF(ISNA(VLOOKUP(A124,'Listado de Artículos'!$B$16:$F$1328,5,0)),0,(VLOOKUP(A124,'Listado de Artículos'!$B$16:$F$1328,5,0)))</f>
        <v>5.95</v>
      </c>
      <c r="D124" s="265">
        <v>1</v>
      </c>
      <c r="E124" s="265">
        <v>1</v>
      </c>
      <c r="F124" s="264">
        <f>IF(D124&gt;0,(E124/D124),"")</f>
        <v>1</v>
      </c>
      <c r="G124" s="264">
        <f>IF(D124&gt;0,(100%-F124),"")</f>
        <v>0</v>
      </c>
      <c r="H124" s="265">
        <f>IF(B124&gt;0,(G124*B124/F124),"")</f>
        <v>0</v>
      </c>
      <c r="I124" s="265">
        <f>IF(B124&gt;0,(B124+H124),"")</f>
        <v>1</v>
      </c>
      <c r="J124" s="211">
        <f>IF(C124&gt;0,(C124*I124),"")</f>
        <v>5.95</v>
      </c>
    </row>
    <row r="125" spans="1:10" ht="13.2" customHeight="1" x14ac:dyDescent="0.25">
      <c r="A125" s="259"/>
      <c r="B125" s="329"/>
      <c r="C125" s="304"/>
      <c r="D125" s="304"/>
      <c r="E125" s="304"/>
      <c r="F125" s="304"/>
      <c r="G125" s="304"/>
      <c r="H125" s="304"/>
      <c r="I125" s="259"/>
      <c r="J125" s="259"/>
    </row>
    <row r="126" spans="1:10" ht="13.2" customHeight="1" x14ac:dyDescent="0.25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</row>
    <row r="129" spans="1:10" ht="15.6" customHeight="1" x14ac:dyDescent="0.3">
      <c r="A129" s="259"/>
      <c r="B129" s="213" t="s">
        <v>407</v>
      </c>
      <c r="C129" s="332" t="s">
        <v>481</v>
      </c>
      <c r="D129" s="310"/>
      <c r="E129" s="310"/>
      <c r="F129" s="310"/>
      <c r="G129" s="310"/>
      <c r="H129" s="310"/>
      <c r="I129" s="310"/>
      <c r="J129" s="310"/>
    </row>
    <row r="130" spans="1:10" ht="15.6" customHeight="1" x14ac:dyDescent="0.3">
      <c r="A130" s="212"/>
      <c r="B130" s="214" t="s">
        <v>409</v>
      </c>
      <c r="C130" s="335" t="s">
        <v>425</v>
      </c>
      <c r="D130" s="312"/>
      <c r="E130" s="312"/>
      <c r="F130" s="313"/>
      <c r="G130" s="333" t="s">
        <v>426</v>
      </c>
      <c r="H130" s="315"/>
      <c r="I130" s="336"/>
      <c r="J130" s="308"/>
    </row>
    <row r="131" spans="1:10" ht="15.6" customHeight="1" x14ac:dyDescent="0.3">
      <c r="A131" s="259"/>
      <c r="B131" s="215" t="s">
        <v>411</v>
      </c>
      <c r="C131" s="216">
        <v>58</v>
      </c>
      <c r="D131" s="331" t="s">
        <v>412</v>
      </c>
      <c r="E131" s="318"/>
      <c r="F131" s="217">
        <f>SUM(J134:J138)</f>
        <v>82.804999999999993</v>
      </c>
      <c r="G131" s="330" t="s">
        <v>427</v>
      </c>
      <c r="H131" s="315"/>
      <c r="I131" s="295">
        <f>F131/C131</f>
        <v>1.4276724137931034</v>
      </c>
      <c r="J131" s="296"/>
    </row>
    <row r="132" spans="1:10" ht="13.2" customHeight="1" x14ac:dyDescent="0.25">
      <c r="A132" s="259"/>
      <c r="B132" s="259"/>
      <c r="C132" s="259"/>
      <c r="D132" s="259"/>
      <c r="E132" s="259"/>
      <c r="F132" s="259"/>
      <c r="G132" s="259"/>
      <c r="H132" s="259"/>
      <c r="I132" s="259"/>
      <c r="J132" s="259"/>
    </row>
    <row r="133" spans="1:10" ht="13.8" customHeight="1" x14ac:dyDescent="0.3">
      <c r="A133" s="218" t="s">
        <v>414</v>
      </c>
      <c r="B133" s="219" t="s">
        <v>415</v>
      </c>
      <c r="C133" s="219" t="s">
        <v>416</v>
      </c>
      <c r="D133" s="219" t="s">
        <v>417</v>
      </c>
      <c r="E133" s="219" t="s">
        <v>418</v>
      </c>
      <c r="F133" s="219" t="s">
        <v>419</v>
      </c>
      <c r="G133" s="219" t="s">
        <v>420</v>
      </c>
      <c r="H133" s="219" t="s">
        <v>421</v>
      </c>
      <c r="I133" s="219" t="s">
        <v>422</v>
      </c>
      <c r="J133" s="220" t="s">
        <v>423</v>
      </c>
    </row>
    <row r="134" spans="1:10" ht="13.8" customHeight="1" x14ac:dyDescent="0.3">
      <c r="A134" s="221" t="s">
        <v>336</v>
      </c>
      <c r="B134" s="265">
        <v>8</v>
      </c>
      <c r="C134" s="294">
        <f>IF(ISNA(VLOOKUP(A134,'Listado de Artículos'!$B$16:$F$1328,5,0)),0,(VLOOKUP(A134,'Listado de Artículos'!$B$16:$F$1328,5,0)))</f>
        <v>0.36</v>
      </c>
      <c r="D134" s="265">
        <v>1</v>
      </c>
      <c r="E134" s="265">
        <v>1</v>
      </c>
      <c r="F134" s="264">
        <f>IF(D134&gt;0,(E134/D134),"")</f>
        <v>1</v>
      </c>
      <c r="G134" s="264">
        <f>IF(D134&gt;0,(100%-F134),"")</f>
        <v>0</v>
      </c>
      <c r="H134" s="265">
        <f>IF(B134&gt;0,(G134*B134/F134),"")</f>
        <v>0</v>
      </c>
      <c r="I134" s="265">
        <f>IF(B134&gt;0,(B134+H134),"")</f>
        <v>8</v>
      </c>
      <c r="J134" s="211">
        <f>IF(C134&gt;0,(C134*I134),"")</f>
        <v>2.88</v>
      </c>
    </row>
    <row r="135" spans="1:10" ht="13.8" customHeight="1" x14ac:dyDescent="0.3">
      <c r="A135" s="221" t="s">
        <v>59</v>
      </c>
      <c r="B135" s="265">
        <v>0.5</v>
      </c>
      <c r="C135" s="294">
        <f>IF(ISNA(VLOOKUP(A135,'Listado de Artículos'!$B$16:$F$1328,5,0)),0,(VLOOKUP(A135,'Listado de Artículos'!$B$16:$F$1328,5,0)))</f>
        <v>28.59</v>
      </c>
      <c r="D135" s="265">
        <v>1</v>
      </c>
      <c r="E135" s="265">
        <v>1</v>
      </c>
      <c r="F135" s="264">
        <f>IF(D135&gt;0,(E135/D135),"")</f>
        <v>1</v>
      </c>
      <c r="G135" s="264">
        <f>IF(D135&gt;0,(100%-F135),"")</f>
        <v>0</v>
      </c>
      <c r="H135" s="265">
        <f>IF(B135&gt;0,(G135*B135/F135),"")</f>
        <v>0</v>
      </c>
      <c r="I135" s="265">
        <f>IF(B135&gt;0,(B135+H135),"")</f>
        <v>0.5</v>
      </c>
      <c r="J135" s="211">
        <f>IF(C135&gt;0,(C135*I135),"")</f>
        <v>14.295</v>
      </c>
    </row>
    <row r="136" spans="1:10" ht="13.8" customHeight="1" x14ac:dyDescent="0.3">
      <c r="A136" s="221" t="s">
        <v>280</v>
      </c>
      <c r="B136" s="265">
        <v>15</v>
      </c>
      <c r="C136" s="294">
        <f>IF(ISNA(VLOOKUP(A136,'Listado de Artículos'!$B$16:$F$1328,5,0)),0,(VLOOKUP(A136,'Listado de Artículos'!$B$16:$F$1328,5,0)))</f>
        <v>2</v>
      </c>
      <c r="D136" s="265">
        <v>1</v>
      </c>
      <c r="E136" s="265">
        <v>1</v>
      </c>
      <c r="F136" s="264">
        <f>IF(D136&gt;0,(E136/D136),"")</f>
        <v>1</v>
      </c>
      <c r="G136" s="264">
        <f>IF(D136&gt;0,(100%-F136),"")</f>
        <v>0</v>
      </c>
      <c r="H136" s="265">
        <f>IF(B136&gt;0,(G136*B136/F136),"")</f>
        <v>0</v>
      </c>
      <c r="I136" s="265">
        <f>IF(B136&gt;0,(B136+H136),"")</f>
        <v>15</v>
      </c>
      <c r="J136" s="211">
        <f>IF(C136&gt;0,(C136*I136),"")</f>
        <v>30</v>
      </c>
    </row>
    <row r="137" spans="1:10" ht="13.8" customHeight="1" x14ac:dyDescent="0.3">
      <c r="A137" s="223" t="s">
        <v>369</v>
      </c>
      <c r="B137" s="269">
        <v>1</v>
      </c>
      <c r="C137" s="297">
        <f>IF(ISNA(VLOOKUP(A137,'Listado de Artículos'!$B$16:$F$1328,5,0)),0,(VLOOKUP(A137,'Listado de Artículos'!$B$16:$F$1328,5,0)))</f>
        <v>31.53</v>
      </c>
      <c r="D137" s="269">
        <v>1</v>
      </c>
      <c r="E137" s="269">
        <v>1</v>
      </c>
      <c r="F137" s="268">
        <f>IF(D137&gt;0,(E137/D137),"")</f>
        <v>1</v>
      </c>
      <c r="G137" s="268">
        <f>IF(D137&gt;0,(100%-F137),"")</f>
        <v>0</v>
      </c>
      <c r="H137" s="269">
        <f>IF(B137&gt;0,(G137*B137/F137),"")</f>
        <v>0</v>
      </c>
      <c r="I137" s="269">
        <f>IF(B137&gt;0,(B137+H137),"")</f>
        <v>1</v>
      </c>
      <c r="J137" s="224">
        <f>IF(C137&gt;0,(C137*I137),"")</f>
        <v>31.53</v>
      </c>
    </row>
    <row r="138" spans="1:10" ht="13.8" customHeight="1" x14ac:dyDescent="0.3">
      <c r="A138" s="223" t="s">
        <v>247</v>
      </c>
      <c r="B138" s="269">
        <v>1</v>
      </c>
      <c r="C138" s="297">
        <f>IF(ISNA(VLOOKUP(A138,'Listado de Artículos'!$B$16:$F$1328,5,0)),0,(VLOOKUP(A138,'Listado de Artículos'!$B$16:$F$1328,5,0)))</f>
        <v>4.0999999999999996</v>
      </c>
      <c r="D138" s="269">
        <v>1</v>
      </c>
      <c r="E138" s="269">
        <v>1</v>
      </c>
      <c r="F138" s="268">
        <f>IF(D138&gt;0,(E138/D138),"")</f>
        <v>1</v>
      </c>
      <c r="G138" s="268">
        <f>IF(D138&gt;0,(100%-F138),"")</f>
        <v>0</v>
      </c>
      <c r="H138" s="269">
        <f>IF(B138&gt;0,(G138*B138/F138),"")</f>
        <v>0</v>
      </c>
      <c r="I138" s="269">
        <f>IF(B138&gt;0,(B138+H138),"")</f>
        <v>1</v>
      </c>
      <c r="J138" s="224">
        <f>IF(C138&gt;0,(C138*I138),"")</f>
        <v>4.0999999999999996</v>
      </c>
    </row>
    <row r="139" spans="1:10" ht="13.2" customHeight="1" x14ac:dyDescent="0.25">
      <c r="A139" s="259"/>
      <c r="B139" s="329"/>
      <c r="C139" s="304"/>
      <c r="D139" s="304"/>
      <c r="E139" s="304"/>
      <c r="F139" s="304"/>
      <c r="G139" s="304"/>
      <c r="H139" s="304"/>
      <c r="I139" s="259"/>
      <c r="J139" s="259"/>
    </row>
    <row r="140" spans="1:10" ht="13.2" customHeight="1" x14ac:dyDescent="0.25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</row>
    <row r="142" spans="1:10" ht="15.6" customHeight="1" x14ac:dyDescent="0.3">
      <c r="A142" s="259"/>
      <c r="B142" s="213" t="s">
        <v>407</v>
      </c>
      <c r="C142" s="332" t="s">
        <v>369</v>
      </c>
      <c r="D142" s="310"/>
      <c r="E142" s="310"/>
      <c r="F142" s="310"/>
      <c r="G142" s="310"/>
      <c r="H142" s="310"/>
      <c r="I142" s="310"/>
      <c r="J142" s="310"/>
    </row>
    <row r="143" spans="1:10" ht="15.6" customHeight="1" x14ac:dyDescent="0.3">
      <c r="A143" s="212"/>
      <c r="B143" s="214" t="s">
        <v>409</v>
      </c>
      <c r="C143" s="335" t="s">
        <v>425</v>
      </c>
      <c r="D143" s="312"/>
      <c r="E143" s="312"/>
      <c r="F143" s="313"/>
      <c r="G143" s="333" t="s">
        <v>426</v>
      </c>
      <c r="H143" s="315"/>
      <c r="I143" s="336"/>
      <c r="J143" s="308"/>
    </row>
    <row r="144" spans="1:10" ht="15.6" customHeight="1" x14ac:dyDescent="0.3">
      <c r="A144" s="259"/>
      <c r="B144" s="215" t="s">
        <v>411</v>
      </c>
      <c r="C144" s="216">
        <v>1</v>
      </c>
      <c r="D144" s="331" t="s">
        <v>412</v>
      </c>
      <c r="E144" s="318"/>
      <c r="F144" s="217">
        <f>SUM(J147:J151)</f>
        <v>86.445000000000007</v>
      </c>
      <c r="G144" s="330" t="s">
        <v>427</v>
      </c>
      <c r="H144" s="315"/>
      <c r="I144" s="295">
        <f>F144/C144</f>
        <v>86.445000000000007</v>
      </c>
      <c r="J144" s="296"/>
    </row>
    <row r="145" spans="1:10" ht="13.2" customHeight="1" x14ac:dyDescent="0.25">
      <c r="A145" s="259"/>
      <c r="B145" s="259"/>
      <c r="C145" s="259" t="s">
        <v>482</v>
      </c>
      <c r="D145" s="259"/>
      <c r="E145" s="259"/>
      <c r="F145" s="259"/>
      <c r="G145" s="259"/>
      <c r="H145" s="259"/>
      <c r="I145" s="259"/>
      <c r="J145" s="259"/>
    </row>
    <row r="146" spans="1:10" ht="13.8" customHeight="1" x14ac:dyDescent="0.3">
      <c r="A146" s="218" t="s">
        <v>414</v>
      </c>
      <c r="B146" s="219" t="s">
        <v>415</v>
      </c>
      <c r="C146" s="219" t="s">
        <v>416</v>
      </c>
      <c r="D146" s="219" t="s">
        <v>417</v>
      </c>
      <c r="E146" s="219" t="s">
        <v>418</v>
      </c>
      <c r="F146" s="219" t="s">
        <v>419</v>
      </c>
      <c r="G146" s="219" t="s">
        <v>420</v>
      </c>
      <c r="H146" s="219" t="s">
        <v>421</v>
      </c>
      <c r="I146" s="219" t="s">
        <v>422</v>
      </c>
      <c r="J146" s="220" t="s">
        <v>423</v>
      </c>
    </row>
    <row r="147" spans="1:10" ht="13.8" customHeight="1" x14ac:dyDescent="0.3">
      <c r="A147" s="221" t="s">
        <v>171</v>
      </c>
      <c r="B147" s="265">
        <v>3.4</v>
      </c>
      <c r="C147" s="294">
        <f>IF(ISNA(VLOOKUP(A147,'Listado de Artículos'!$B$16:$F$1328,5,0)),0,(VLOOKUP(A147,'Listado de Artículos'!$B$16:$F$1328,5,0)))</f>
        <v>8</v>
      </c>
      <c r="D147" s="265">
        <v>1</v>
      </c>
      <c r="E147" s="265">
        <v>1</v>
      </c>
      <c r="F147" s="264">
        <f>IF(D147&gt;0,(E147/D147),"")</f>
        <v>1</v>
      </c>
      <c r="G147" s="264">
        <f>IF(D147&gt;0,(100%-F147),"")</f>
        <v>0</v>
      </c>
      <c r="H147" s="265">
        <f>IF(B147&gt;0,(G147*B147/F147),"")</f>
        <v>0</v>
      </c>
      <c r="I147" s="265">
        <f>IF(B147&gt;0,(B147+H147),"")</f>
        <v>3.4</v>
      </c>
      <c r="J147" s="211">
        <f>IF(C147&gt;0,(C147*I147),"")</f>
        <v>27.2</v>
      </c>
    </row>
    <row r="148" spans="1:10" ht="13.8" customHeight="1" x14ac:dyDescent="0.3">
      <c r="A148" s="221" t="s">
        <v>256</v>
      </c>
      <c r="B148" s="265">
        <v>2</v>
      </c>
      <c r="C148" s="294">
        <f>IF(ISNA(VLOOKUP(A148,'Listado de Artículos'!$B$16:$F$1328,5,0)),0,(VLOOKUP(A148,'Listado de Artículos'!$B$16:$F$1328,5,0)))</f>
        <v>21.5</v>
      </c>
      <c r="D148" s="265">
        <v>1</v>
      </c>
      <c r="E148" s="265">
        <v>1</v>
      </c>
      <c r="F148" s="264">
        <f>IF(D148&gt;0,(E148/D148),"")</f>
        <v>1</v>
      </c>
      <c r="G148" s="264">
        <f>IF(D148&gt;0,(100%-F148),"")</f>
        <v>0</v>
      </c>
      <c r="H148" s="265">
        <f>IF(B148&gt;0,(G148*B148/F148),"")</f>
        <v>0</v>
      </c>
      <c r="I148" s="265">
        <f>IF(B148&gt;0,(B148+H148),"")</f>
        <v>2</v>
      </c>
      <c r="J148" s="211">
        <f>IF(C148&gt;0,(C148*I148),"")</f>
        <v>43</v>
      </c>
    </row>
    <row r="149" spans="1:10" ht="13.8" customHeight="1" x14ac:dyDescent="0.3">
      <c r="A149" s="221" t="s">
        <v>136</v>
      </c>
      <c r="B149" s="265">
        <v>2</v>
      </c>
      <c r="C149" s="294">
        <f>IF(ISNA(VLOOKUP(A149,'Listado de Artículos'!$B$16:$F$1328,5,0)),0,(VLOOKUP(A149,'Listado de Artículos'!$B$16:$F$1328,5,0)))</f>
        <v>4.5</v>
      </c>
      <c r="D149" s="265">
        <v>1</v>
      </c>
      <c r="E149" s="265">
        <v>1</v>
      </c>
      <c r="F149" s="264">
        <f>IF(D149&gt;0,(E149/D149),"")</f>
        <v>1</v>
      </c>
      <c r="G149" s="264">
        <f>IF(D149&gt;0,(100%-F149),"")</f>
        <v>0</v>
      </c>
      <c r="H149" s="265">
        <f>IF(B149&gt;0,(G149*B149/F149),"")</f>
        <v>0</v>
      </c>
      <c r="I149" s="265">
        <f>IF(B149&gt;0,(B149+H149),"")</f>
        <v>2</v>
      </c>
      <c r="J149" s="211">
        <f>IF(C149&gt;0,(C149*I149),"")</f>
        <v>9</v>
      </c>
    </row>
    <row r="150" spans="1:10" ht="13.8" customHeight="1" x14ac:dyDescent="0.3">
      <c r="A150" s="221" t="s">
        <v>360</v>
      </c>
      <c r="B150" s="265">
        <v>0.3</v>
      </c>
      <c r="C150" s="294">
        <f>IF(ISNA(VLOOKUP(A150,'Listado de Artículos'!$B$16:$F$1328,5,0)),0,(VLOOKUP(A150,'Listado de Artículos'!$B$16:$F$1328,5,0)))</f>
        <v>4.25</v>
      </c>
      <c r="D150" s="265">
        <v>1</v>
      </c>
      <c r="E150" s="265">
        <v>1</v>
      </c>
      <c r="F150" s="264">
        <f>IF(D150&gt;0,(E150/D150),"")</f>
        <v>1</v>
      </c>
      <c r="G150" s="264">
        <f>IF(D150&gt;0,(100%-F150),"")</f>
        <v>0</v>
      </c>
      <c r="H150" s="265">
        <f>IF(B150&gt;0,(G150*B150/F150),"")</f>
        <v>0</v>
      </c>
      <c r="I150" s="265">
        <f>IF(B150&gt;0,(B150+H150),"")</f>
        <v>0.3</v>
      </c>
      <c r="J150" s="211">
        <f>IF(C150&gt;0,(C150*I150),"")</f>
        <v>1.2749999999999999</v>
      </c>
    </row>
    <row r="151" spans="1:10" ht="13.8" customHeight="1" x14ac:dyDescent="0.3">
      <c r="A151" s="221" t="s">
        <v>304</v>
      </c>
      <c r="B151" s="265">
        <v>0.3</v>
      </c>
      <c r="C151" s="294">
        <f>IF(ISNA(VLOOKUP(A151,'Listado de Artículos'!$B$16:$F$1328,5,0)),0,(VLOOKUP(A151,'Listado de Artículos'!$B$16:$F$1328,5,0)))</f>
        <v>19.899999999999999</v>
      </c>
      <c r="D151" s="265">
        <v>1</v>
      </c>
      <c r="E151" s="265">
        <v>1</v>
      </c>
      <c r="F151" s="264">
        <f>IF(D151&gt;0,(E151/D151),"")</f>
        <v>1</v>
      </c>
      <c r="G151" s="264">
        <f>IF(D151&gt;0,(100%-F151),"")</f>
        <v>0</v>
      </c>
      <c r="H151" s="265">
        <f>IF(B151&gt;0,(G151*B151/F151),"")</f>
        <v>0</v>
      </c>
      <c r="I151" s="265">
        <f>IF(B151&gt;0,(B151+H151),"")</f>
        <v>0.3</v>
      </c>
      <c r="J151" s="211">
        <f>IF(C151&gt;0,(C151*I151),"")</f>
        <v>5.97</v>
      </c>
    </row>
    <row r="152" spans="1:10" ht="13.2" customHeight="1" x14ac:dyDescent="0.25">
      <c r="A152" s="259"/>
      <c r="B152" s="329"/>
      <c r="C152" s="304"/>
      <c r="D152" s="304"/>
      <c r="E152" s="304"/>
      <c r="F152" s="304"/>
      <c r="G152" s="304"/>
      <c r="H152" s="304"/>
      <c r="I152" s="259"/>
      <c r="J152" s="259"/>
    </row>
    <row r="153" spans="1:10" ht="13.2" customHeight="1" x14ac:dyDescent="0.25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</row>
    <row r="157" spans="1:10" ht="15.6" customHeight="1" x14ac:dyDescent="0.3">
      <c r="A157" s="259"/>
      <c r="B157" s="213" t="s">
        <v>407</v>
      </c>
      <c r="C157" s="332" t="s">
        <v>384</v>
      </c>
      <c r="D157" s="310"/>
      <c r="E157" s="310"/>
      <c r="F157" s="310"/>
      <c r="G157" s="310"/>
      <c r="H157" s="310"/>
      <c r="I157" s="310"/>
      <c r="J157" s="310"/>
    </row>
    <row r="158" spans="1:10" ht="15.6" customHeight="1" x14ac:dyDescent="0.3">
      <c r="A158" s="212"/>
      <c r="B158" s="214" t="s">
        <v>409</v>
      </c>
      <c r="C158" s="335" t="s">
        <v>425</v>
      </c>
      <c r="D158" s="312"/>
      <c r="E158" s="312"/>
      <c r="F158" s="313"/>
      <c r="G158" s="333" t="s">
        <v>426</v>
      </c>
      <c r="H158" s="315"/>
      <c r="I158" s="336"/>
      <c r="J158" s="308"/>
    </row>
    <row r="159" spans="1:10" ht="15.6" customHeight="1" x14ac:dyDescent="0.3">
      <c r="A159" s="259"/>
      <c r="B159" s="215" t="s">
        <v>411</v>
      </c>
      <c r="C159" s="216">
        <v>58</v>
      </c>
      <c r="D159" s="331" t="s">
        <v>412</v>
      </c>
      <c r="E159" s="318"/>
      <c r="F159" s="217">
        <f>SUM(J162:J164)</f>
        <v>8.7999999999999989</v>
      </c>
      <c r="G159" s="330" t="s">
        <v>427</v>
      </c>
      <c r="H159" s="315"/>
      <c r="I159" s="295">
        <f>F159/C159</f>
        <v>0.15172413793103445</v>
      </c>
      <c r="J159" s="296"/>
    </row>
    <row r="160" spans="1:10" ht="13.2" customHeight="1" x14ac:dyDescent="0.25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</row>
    <row r="161" spans="1:10" ht="13.8" customHeight="1" x14ac:dyDescent="0.3">
      <c r="A161" s="218" t="s">
        <v>414</v>
      </c>
      <c r="B161" s="219" t="s">
        <v>415</v>
      </c>
      <c r="C161" s="219" t="s">
        <v>416</v>
      </c>
      <c r="D161" s="219" t="s">
        <v>417</v>
      </c>
      <c r="E161" s="219" t="s">
        <v>418</v>
      </c>
      <c r="F161" s="219" t="s">
        <v>419</v>
      </c>
      <c r="G161" s="219" t="s">
        <v>420</v>
      </c>
      <c r="H161" s="219" t="s">
        <v>421</v>
      </c>
      <c r="I161" s="219" t="s">
        <v>422</v>
      </c>
      <c r="J161" s="220" t="s">
        <v>423</v>
      </c>
    </row>
    <row r="162" spans="1:10" ht="13.8" customHeight="1" x14ac:dyDescent="0.3">
      <c r="A162" s="221" t="s">
        <v>380</v>
      </c>
      <c r="B162" s="265">
        <v>0.5</v>
      </c>
      <c r="C162" s="294">
        <f>IF(ISNA(VLOOKUP(A162,'Listado de Artículos'!$B$16:$F$1328,5,0)),0,(VLOOKUP(A162,'Listado de Artículos'!$B$16:$F$1328,5,0)))</f>
        <v>13.2</v>
      </c>
      <c r="D162" s="265">
        <v>1</v>
      </c>
      <c r="E162" s="265">
        <v>1</v>
      </c>
      <c r="F162" s="264">
        <f>IF(D162&gt;0,(E162/D162),"")</f>
        <v>1</v>
      </c>
      <c r="G162" s="264">
        <f>IF(D162&gt;0,(100%-F162),"")</f>
        <v>0</v>
      </c>
      <c r="H162" s="265">
        <f>IF(B162&gt;0,(G162*B162/F162),"")</f>
        <v>0</v>
      </c>
      <c r="I162" s="265">
        <f>IF(B162&gt;0,(B162+H162),"")</f>
        <v>0.5</v>
      </c>
      <c r="J162" s="211">
        <f>IF(C162&gt;0,(C162*I162),"")</f>
        <v>6.6</v>
      </c>
    </row>
    <row r="163" spans="1:10" ht="13.8" customHeight="1" x14ac:dyDescent="0.3">
      <c r="A163" s="221" t="s">
        <v>231</v>
      </c>
      <c r="B163" s="265">
        <v>1</v>
      </c>
      <c r="C163" s="294">
        <f>IF(ISNA(VLOOKUP(A163,'Listado de Artículos'!$B$16:$F$1328,5,0)),0,(VLOOKUP(A163,'Listado de Artículos'!$B$16:$F$1328,5,0)))</f>
        <v>1.38</v>
      </c>
      <c r="D163" s="265">
        <v>1</v>
      </c>
      <c r="E163" s="265">
        <v>1</v>
      </c>
      <c r="F163" s="264">
        <f>IF(D163&gt;0,(E163/D163),"")</f>
        <v>1</v>
      </c>
      <c r="G163" s="264">
        <f>IF(D163&gt;0,(100%-F163),"")</f>
        <v>0</v>
      </c>
      <c r="H163" s="265">
        <f>IF(B163&gt;0,(G163*B163/F163),"")</f>
        <v>0</v>
      </c>
      <c r="I163" s="265">
        <f>IF(B163&gt;0,(B163+H163),"")</f>
        <v>1</v>
      </c>
      <c r="J163" s="211">
        <f>IF(C163&gt;0,(C163*I163),"")</f>
        <v>1.38</v>
      </c>
    </row>
    <row r="164" spans="1:10" ht="13.8" customHeight="1" x14ac:dyDescent="0.3">
      <c r="A164" s="221" t="s">
        <v>87</v>
      </c>
      <c r="B164" s="265">
        <v>1</v>
      </c>
      <c r="C164" s="294">
        <f>IF(ISNA(VLOOKUP(A164,'Listado de Artículos'!$B$16:$F$1328,5,0)),0,(VLOOKUP(A164,'Listado de Artículos'!$B$16:$F$1328,5,0)))</f>
        <v>0.82</v>
      </c>
      <c r="D164" s="265">
        <v>1</v>
      </c>
      <c r="E164" s="265">
        <v>1</v>
      </c>
      <c r="F164" s="264">
        <f>IF(D164&gt;0,(E164/D164),"")</f>
        <v>1</v>
      </c>
      <c r="G164" s="264">
        <f>IF(D164&gt;0,(100%-F164),"")</f>
        <v>0</v>
      </c>
      <c r="H164" s="265">
        <f>IF(B164&gt;0,(G164*B164/F164),"")</f>
        <v>0</v>
      </c>
      <c r="I164" s="265">
        <f>IF(B164&gt;0,(B164+H164),"")</f>
        <v>1</v>
      </c>
      <c r="J164" s="211">
        <f>IF(C164&gt;0,(C164*I164),"")</f>
        <v>0.82</v>
      </c>
    </row>
    <row r="165" spans="1:10" ht="13.2" customHeight="1" x14ac:dyDescent="0.25">
      <c r="A165" s="259"/>
      <c r="B165" s="329"/>
      <c r="C165" s="304"/>
      <c r="D165" s="304"/>
      <c r="E165" s="304"/>
      <c r="F165" s="304"/>
      <c r="G165" s="304"/>
      <c r="H165" s="304"/>
      <c r="I165" s="259"/>
      <c r="J165" s="259"/>
    </row>
    <row r="166" spans="1:10" ht="13.2" customHeight="1" x14ac:dyDescent="0.25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</row>
    <row r="168" spans="1:10" ht="15.6" customHeight="1" x14ac:dyDescent="0.3">
      <c r="A168" s="259"/>
      <c r="B168" s="213" t="s">
        <v>407</v>
      </c>
      <c r="C168" s="332" t="s">
        <v>385</v>
      </c>
      <c r="D168" s="310"/>
      <c r="E168" s="310"/>
      <c r="F168" s="310"/>
      <c r="G168" s="310"/>
      <c r="H168" s="310"/>
      <c r="I168" s="310"/>
      <c r="J168" s="310"/>
    </row>
    <row r="169" spans="1:10" ht="15.6" customHeight="1" x14ac:dyDescent="0.3">
      <c r="A169" s="212"/>
      <c r="B169" s="214" t="s">
        <v>409</v>
      </c>
      <c r="C169" s="335" t="s">
        <v>425</v>
      </c>
      <c r="D169" s="312"/>
      <c r="E169" s="312"/>
      <c r="F169" s="313"/>
      <c r="G169" s="333" t="s">
        <v>426</v>
      </c>
      <c r="H169" s="315"/>
      <c r="I169" s="336"/>
      <c r="J169" s="308"/>
    </row>
    <row r="170" spans="1:10" ht="15.6" customHeight="1" x14ac:dyDescent="0.3">
      <c r="A170" s="259"/>
      <c r="B170" s="215" t="s">
        <v>411</v>
      </c>
      <c r="C170" s="216">
        <v>58</v>
      </c>
      <c r="D170" s="331" t="s">
        <v>412</v>
      </c>
      <c r="E170" s="318"/>
      <c r="F170" s="217">
        <f>SUM(J173:J175)</f>
        <v>8.11</v>
      </c>
      <c r="G170" s="330" t="s">
        <v>427</v>
      </c>
      <c r="H170" s="315"/>
      <c r="I170" s="295">
        <f>F170/C170</f>
        <v>0.13982758620689653</v>
      </c>
      <c r="J170" s="296"/>
    </row>
    <row r="171" spans="1:10" ht="13.2" customHeight="1" x14ac:dyDescent="0.25">
      <c r="A171" s="259"/>
      <c r="B171" s="259"/>
      <c r="C171" s="259"/>
      <c r="D171" s="259"/>
      <c r="E171" s="259"/>
      <c r="F171" s="259"/>
      <c r="G171" s="259"/>
      <c r="H171" s="259"/>
      <c r="I171" s="259"/>
      <c r="J171" s="259"/>
    </row>
    <row r="172" spans="1:10" ht="13.8" customHeight="1" x14ac:dyDescent="0.3">
      <c r="A172" s="218" t="s">
        <v>414</v>
      </c>
      <c r="B172" s="219" t="s">
        <v>415</v>
      </c>
      <c r="C172" s="219" t="s">
        <v>416</v>
      </c>
      <c r="D172" s="219" t="s">
        <v>417</v>
      </c>
      <c r="E172" s="219" t="s">
        <v>418</v>
      </c>
      <c r="F172" s="219" t="s">
        <v>419</v>
      </c>
      <c r="G172" s="219" t="s">
        <v>420</v>
      </c>
      <c r="H172" s="219" t="s">
        <v>421</v>
      </c>
      <c r="I172" s="219" t="s">
        <v>422</v>
      </c>
      <c r="J172" s="220" t="s">
        <v>423</v>
      </c>
    </row>
    <row r="173" spans="1:10" ht="13.8" customHeight="1" x14ac:dyDescent="0.3">
      <c r="A173" s="221" t="s">
        <v>231</v>
      </c>
      <c r="B173" s="265">
        <v>3</v>
      </c>
      <c r="C173" s="294">
        <f>IF(ISNA(VLOOKUP(A173,'Listado de Artículos'!$B$16:$F$1328,5,0)),0,(VLOOKUP(A173,'Listado de Artículos'!$B$16:$F$1328,5,0)))</f>
        <v>1.38</v>
      </c>
      <c r="D173" s="265">
        <v>1</v>
      </c>
      <c r="E173" s="265">
        <v>1</v>
      </c>
      <c r="F173" s="264">
        <f>IF(D173&gt;0,(E173/D173),"")</f>
        <v>1</v>
      </c>
      <c r="G173" s="264">
        <f>IF(D173&gt;0,(100%-F173),"")</f>
        <v>0</v>
      </c>
      <c r="H173" s="265">
        <f>IF(B173&gt;0,(G173*B173/F173),"")</f>
        <v>0</v>
      </c>
      <c r="I173" s="265">
        <f>IF(B173&gt;0,(B173+H173),"")</f>
        <v>3</v>
      </c>
      <c r="J173" s="211">
        <f>IF(C173&gt;0,(C173*I173),"")</f>
        <v>4.1399999999999997</v>
      </c>
    </row>
    <row r="174" spans="1:10" ht="13.8" customHeight="1" x14ac:dyDescent="0.3">
      <c r="A174" s="221" t="s">
        <v>87</v>
      </c>
      <c r="B174" s="265">
        <v>1</v>
      </c>
      <c r="C174" s="294">
        <f>IF(ISNA(VLOOKUP(A174,'Listado de Artículos'!$B$16:$F$1328,5,0)),0,(VLOOKUP(A174,'Listado de Artículos'!$B$16:$F$1328,5,0)))</f>
        <v>0.82</v>
      </c>
      <c r="D174" s="265">
        <v>1</v>
      </c>
      <c r="E174" s="265">
        <v>1</v>
      </c>
      <c r="F174" s="264">
        <f>IF(D174&gt;0,(E174/D174),"")</f>
        <v>1</v>
      </c>
      <c r="G174" s="264">
        <f>IF(D174&gt;0,(100%-F174),"")</f>
        <v>0</v>
      </c>
      <c r="H174" s="265">
        <f>IF(B174&gt;0,(G174*B174/F174),"")</f>
        <v>0</v>
      </c>
      <c r="I174" s="265">
        <f>IF(B174&gt;0,(B174+H174),"")</f>
        <v>1</v>
      </c>
      <c r="J174" s="211">
        <f>IF(C174&gt;0,(C174*I174),"")</f>
        <v>0.82</v>
      </c>
    </row>
    <row r="175" spans="1:10" ht="13.8" customHeight="1" x14ac:dyDescent="0.3">
      <c r="A175" s="221" t="s">
        <v>243</v>
      </c>
      <c r="B175" s="265">
        <v>1</v>
      </c>
      <c r="C175" s="294">
        <f>IF(ISNA(VLOOKUP(A175,'Listado de Artículos'!$B$16:$F$1328,5,0)),0,(VLOOKUP(A175,'Listado de Artículos'!$B$16:$F$1328,5,0)))</f>
        <v>3.15</v>
      </c>
      <c r="D175" s="265">
        <v>1</v>
      </c>
      <c r="E175" s="265">
        <v>1</v>
      </c>
      <c r="F175" s="264">
        <f>IF(D175&gt;0,(E175/D175),"")</f>
        <v>1</v>
      </c>
      <c r="G175" s="264">
        <f>IF(D175&gt;0,(100%-F175),"")</f>
        <v>0</v>
      </c>
      <c r="H175" s="265">
        <f>IF(B175&gt;0,(G175*B175/F175),"")</f>
        <v>0</v>
      </c>
      <c r="I175" s="265">
        <f>IF(B175&gt;0,(B175+H175),"")</f>
        <v>1</v>
      </c>
      <c r="J175" s="211">
        <f>IF(C175&gt;0,(C175*I175),"")</f>
        <v>3.15</v>
      </c>
    </row>
    <row r="176" spans="1:10" ht="13.2" customHeight="1" x14ac:dyDescent="0.25">
      <c r="A176" s="259"/>
      <c r="B176" s="329"/>
      <c r="C176" s="304"/>
      <c r="D176" s="304"/>
      <c r="E176" s="304"/>
      <c r="F176" s="304"/>
      <c r="G176" s="304"/>
      <c r="H176" s="304"/>
      <c r="I176" s="259"/>
      <c r="J176" s="259"/>
    </row>
    <row r="177" spans="1:10" ht="13.2" customHeight="1" x14ac:dyDescent="0.25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</row>
    <row r="179" spans="1:10" ht="15.6" customHeight="1" x14ac:dyDescent="0.3">
      <c r="A179" s="259"/>
      <c r="B179" s="213" t="s">
        <v>407</v>
      </c>
      <c r="C179" s="332" t="s">
        <v>483</v>
      </c>
      <c r="D179" s="310"/>
      <c r="E179" s="310"/>
      <c r="F179" s="310"/>
      <c r="G179" s="310"/>
      <c r="H179" s="310"/>
      <c r="I179" s="310"/>
      <c r="J179" s="310"/>
    </row>
    <row r="180" spans="1:10" ht="15.6" customHeight="1" x14ac:dyDescent="0.3">
      <c r="A180" s="212"/>
      <c r="B180" s="214" t="s">
        <v>409</v>
      </c>
      <c r="C180" s="335" t="s">
        <v>425</v>
      </c>
      <c r="D180" s="312"/>
      <c r="E180" s="312"/>
      <c r="F180" s="313"/>
      <c r="G180" s="333" t="s">
        <v>426</v>
      </c>
      <c r="H180" s="315"/>
      <c r="I180" s="336"/>
      <c r="J180" s="308"/>
    </row>
    <row r="181" spans="1:10" ht="15.6" customHeight="1" x14ac:dyDescent="0.3">
      <c r="A181" s="259"/>
      <c r="B181" s="215" t="s">
        <v>411</v>
      </c>
      <c r="C181" s="216">
        <v>58</v>
      </c>
      <c r="D181" s="331" t="s">
        <v>412</v>
      </c>
      <c r="E181" s="318"/>
      <c r="F181" s="217">
        <f>SUM(J184:J185)</f>
        <v>14.46</v>
      </c>
      <c r="G181" s="330" t="s">
        <v>427</v>
      </c>
      <c r="H181" s="315"/>
      <c r="I181" s="295">
        <f>F181/C181</f>
        <v>0.24931034482758621</v>
      </c>
      <c r="J181" s="296"/>
    </row>
    <row r="182" spans="1:10" ht="13.2" customHeight="1" x14ac:dyDescent="0.25">
      <c r="A182" s="259"/>
      <c r="B182" s="259"/>
      <c r="C182" s="259"/>
      <c r="D182" s="259"/>
      <c r="E182" s="259"/>
      <c r="F182" s="259"/>
      <c r="G182" s="259"/>
      <c r="H182" s="259"/>
      <c r="I182" s="259"/>
      <c r="J182" s="259"/>
    </row>
    <row r="183" spans="1:10" ht="13.8" customHeight="1" x14ac:dyDescent="0.3">
      <c r="A183" s="218" t="s">
        <v>414</v>
      </c>
      <c r="B183" s="219" t="s">
        <v>415</v>
      </c>
      <c r="C183" s="219" t="s">
        <v>416</v>
      </c>
      <c r="D183" s="219" t="s">
        <v>417</v>
      </c>
      <c r="E183" s="219" t="s">
        <v>418</v>
      </c>
      <c r="F183" s="219" t="s">
        <v>419</v>
      </c>
      <c r="G183" s="219" t="s">
        <v>420</v>
      </c>
      <c r="H183" s="219" t="s">
        <v>421</v>
      </c>
      <c r="I183" s="219" t="s">
        <v>422</v>
      </c>
      <c r="J183" s="220" t="s">
        <v>423</v>
      </c>
    </row>
    <row r="184" spans="1:10" ht="13.8" customHeight="1" x14ac:dyDescent="0.3">
      <c r="A184" s="221" t="s">
        <v>382</v>
      </c>
      <c r="B184" s="265">
        <v>1</v>
      </c>
      <c r="C184" s="294">
        <f>IF(ISNA(VLOOKUP(A184,'Listado de Artículos'!$B$16:$F$1328,5,0)),0,(VLOOKUP(A184,'Listado de Artículos'!$B$16:$F$1328,5,0)))</f>
        <v>11</v>
      </c>
      <c r="D184" s="265">
        <v>1</v>
      </c>
      <c r="E184" s="265">
        <v>1</v>
      </c>
      <c r="F184" s="264">
        <f>IF(D184&gt;0,(E184/D184),"")</f>
        <v>1</v>
      </c>
      <c r="G184" s="264">
        <f>IF(D184&gt;0,(100%-F184),"")</f>
        <v>0</v>
      </c>
      <c r="H184" s="265">
        <f>IF(B184&gt;0,(G184*B184/F184),"")</f>
        <v>0</v>
      </c>
      <c r="I184" s="265">
        <f>IF(B184&gt;0,(B184+H184),"")</f>
        <v>1</v>
      </c>
      <c r="J184" s="211">
        <f>IF(C184&gt;0,(C184*I184),"")</f>
        <v>11</v>
      </c>
    </row>
    <row r="185" spans="1:10" ht="13.8" customHeight="1" x14ac:dyDescent="0.3">
      <c r="A185" s="221" t="s">
        <v>364</v>
      </c>
      <c r="B185" s="265">
        <v>1</v>
      </c>
      <c r="C185" s="294">
        <f>IF(ISNA(VLOOKUP(A185,'Listado de Artículos'!$B$16:$F$1328,5,0)),0,(VLOOKUP(A185,'Listado de Artículos'!$B$16:$F$1328,5,0)))</f>
        <v>3.46</v>
      </c>
      <c r="D185" s="265">
        <v>1</v>
      </c>
      <c r="E185" s="265">
        <v>1</v>
      </c>
      <c r="F185" s="264">
        <f>IF(D185&gt;0,(E185/D185),"")</f>
        <v>1</v>
      </c>
      <c r="G185" s="264">
        <f>IF(D185&gt;0,(100%-F185),"")</f>
        <v>0</v>
      </c>
      <c r="H185" s="265">
        <f>IF(B185&gt;0,(G185*B185/F185),"")</f>
        <v>0</v>
      </c>
      <c r="I185" s="265">
        <f>IF(B185&gt;0,(B185+H185),"")</f>
        <v>1</v>
      </c>
      <c r="J185" s="211">
        <f>IF(C185&gt;0,(C185*I185),"")</f>
        <v>3.46</v>
      </c>
    </row>
    <row r="186" spans="1:10" ht="13.2" customHeight="1" x14ac:dyDescent="0.25">
      <c r="A186" s="259"/>
      <c r="B186" s="329"/>
      <c r="C186" s="304"/>
      <c r="D186" s="304"/>
      <c r="E186" s="304"/>
      <c r="F186" s="304"/>
      <c r="G186" s="304"/>
      <c r="H186" s="304"/>
      <c r="I186" s="259"/>
      <c r="J186" s="259"/>
    </row>
    <row r="187" spans="1:10" ht="13.2" customHeight="1" x14ac:dyDescent="0.25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</row>
  </sheetData>
  <mergeCells count="93">
    <mergeCell ref="C41:J41"/>
    <mergeCell ref="D181:E181"/>
    <mergeCell ref="C179:J179"/>
    <mergeCell ref="I158:J158"/>
    <mergeCell ref="D9:E9"/>
    <mergeCell ref="C143:F143"/>
    <mergeCell ref="G52:H52"/>
    <mergeCell ref="D53:E53"/>
    <mergeCell ref="C73:J73"/>
    <mergeCell ref="C51:J51"/>
    <mergeCell ref="C52:F52"/>
    <mergeCell ref="C130:F130"/>
    <mergeCell ref="G88:H88"/>
    <mergeCell ref="D170:E170"/>
    <mergeCell ref="D43:E43"/>
    <mergeCell ref="D24:E24"/>
    <mergeCell ref="I52:J52"/>
    <mergeCell ref="B4:J4"/>
    <mergeCell ref="I180:J180"/>
    <mergeCell ref="G63:H63"/>
    <mergeCell ref="D75:E75"/>
    <mergeCell ref="G101:H101"/>
    <mergeCell ref="G144:H144"/>
    <mergeCell ref="G169:H169"/>
    <mergeCell ref="G180:H180"/>
    <mergeCell ref="C22:J22"/>
    <mergeCell ref="G158:H158"/>
    <mergeCell ref="C168:J168"/>
    <mergeCell ref="B114:H114"/>
    <mergeCell ref="G143:H143"/>
    <mergeCell ref="C7:J7"/>
    <mergeCell ref="C62:J62"/>
    <mergeCell ref="D64:E64"/>
    <mergeCell ref="I42:J42"/>
    <mergeCell ref="G8:H8"/>
    <mergeCell ref="C180:F180"/>
    <mergeCell ref="I23:J23"/>
    <mergeCell ref="I169:J169"/>
    <mergeCell ref="C118:F118"/>
    <mergeCell ref="C142:J142"/>
    <mergeCell ref="C86:J86"/>
    <mergeCell ref="D88:E88"/>
    <mergeCell ref="G42:H42"/>
    <mergeCell ref="I118:J118"/>
    <mergeCell ref="G87:H87"/>
    <mergeCell ref="G131:H131"/>
    <mergeCell ref="I63:J63"/>
    <mergeCell ref="C101:F101"/>
    <mergeCell ref="C158:F158"/>
    <mergeCell ref="G181:H181"/>
    <mergeCell ref="D131:E131"/>
    <mergeCell ref="B186:H186"/>
    <mergeCell ref="C74:F74"/>
    <mergeCell ref="D102:E102"/>
    <mergeCell ref="C100:J100"/>
    <mergeCell ref="C87:F87"/>
    <mergeCell ref="G102:H102"/>
    <mergeCell ref="I74:J74"/>
    <mergeCell ref="B139:H139"/>
    <mergeCell ref="G170:H170"/>
    <mergeCell ref="B152:H152"/>
    <mergeCell ref="D144:E144"/>
    <mergeCell ref="G119:H119"/>
    <mergeCell ref="G74:H74"/>
    <mergeCell ref="C169:F169"/>
    <mergeCell ref="G24:H24"/>
    <mergeCell ref="C117:J117"/>
    <mergeCell ref="G130:H130"/>
    <mergeCell ref="B3:J3"/>
    <mergeCell ref="C129:J129"/>
    <mergeCell ref="C42:F42"/>
    <mergeCell ref="G53:H53"/>
    <mergeCell ref="G43:H43"/>
    <mergeCell ref="C8:F8"/>
    <mergeCell ref="I8:J8"/>
    <mergeCell ref="G9:H9"/>
    <mergeCell ref="G23:H23"/>
    <mergeCell ref="C63:F63"/>
    <mergeCell ref="C23:F23"/>
    <mergeCell ref="I87:J87"/>
    <mergeCell ref="G64:H64"/>
    <mergeCell ref="B165:H165"/>
    <mergeCell ref="B176:H176"/>
    <mergeCell ref="G75:H75"/>
    <mergeCell ref="B125:H125"/>
    <mergeCell ref="D119:E119"/>
    <mergeCell ref="D159:E159"/>
    <mergeCell ref="C157:J157"/>
    <mergeCell ref="G118:H118"/>
    <mergeCell ref="G159:H159"/>
    <mergeCell ref="I101:J101"/>
    <mergeCell ref="I143:J143"/>
    <mergeCell ref="I130:J130"/>
  </mergeCells>
  <dataValidations count="1">
    <dataValidation type="list" allowBlank="1" showErrorMessage="1" sqref="A12:A18 A27:A37 A46:A48 A56:A59 A67:A69 A78:A82 A91:A96 A105:A113 A122:A124 A134:A138 A147:A151 A162:A164 A173:A175 A184:A185">
      <formula1>Articulo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Y187"/>
  <sheetViews>
    <sheetView workbookViewId="0"/>
  </sheetViews>
  <sheetFormatPr baseColWidth="10" defaultColWidth="12.6640625" defaultRowHeight="15" customHeight="1" x14ac:dyDescent="0.25"/>
  <cols>
    <col min="1" max="1" width="19.77734375" style="302" customWidth="1"/>
  </cols>
  <sheetData>
    <row r="2" spans="1:25" ht="15" customHeight="1" x14ac:dyDescent="0.3">
      <c r="A2" s="165"/>
      <c r="B2" s="165"/>
      <c r="C2" s="165"/>
      <c r="D2" s="165"/>
      <c r="E2" s="165"/>
      <c r="F2" s="165"/>
      <c r="G2" s="165"/>
      <c r="H2" s="165"/>
      <c r="I2" s="165"/>
      <c r="J2" s="165"/>
    </row>
    <row r="3" spans="1:25" ht="15" customHeight="1" x14ac:dyDescent="0.3">
      <c r="A3" s="166"/>
      <c r="B3" s="334" t="s">
        <v>474</v>
      </c>
      <c r="C3" s="304"/>
      <c r="D3" s="304"/>
      <c r="E3" s="304"/>
      <c r="F3" s="304"/>
      <c r="G3" s="304"/>
      <c r="H3" s="304"/>
      <c r="I3" s="304"/>
      <c r="J3" s="305"/>
    </row>
    <row r="4" spans="1:25" ht="15" customHeight="1" x14ac:dyDescent="0.3">
      <c r="A4" s="166"/>
      <c r="B4" s="316" t="s">
        <v>406</v>
      </c>
      <c r="C4" s="304"/>
      <c r="D4" s="304"/>
      <c r="E4" s="304"/>
      <c r="F4" s="304"/>
      <c r="G4" s="304"/>
      <c r="H4" s="304"/>
      <c r="I4" s="304"/>
      <c r="J4" s="305"/>
    </row>
    <row r="5" spans="1:25" ht="15" customHeight="1" x14ac:dyDescent="0.3">
      <c r="A5" s="166"/>
      <c r="B5" s="166"/>
      <c r="C5" s="166"/>
      <c r="D5" s="166"/>
      <c r="E5" s="166"/>
      <c r="F5" s="166"/>
      <c r="G5" s="166"/>
      <c r="H5" s="166"/>
      <c r="I5" s="166"/>
      <c r="J5" s="166"/>
    </row>
    <row r="6" spans="1:25" ht="15" customHeight="1" x14ac:dyDescent="0.3">
      <c r="A6" s="166"/>
      <c r="B6" s="166"/>
      <c r="C6" s="166"/>
      <c r="D6" s="166"/>
      <c r="E6" s="166"/>
      <c r="F6" s="166"/>
      <c r="G6" s="166"/>
      <c r="H6" s="166"/>
      <c r="I6" s="166"/>
      <c r="J6" s="166"/>
    </row>
    <row r="7" spans="1:25" ht="15" customHeight="1" x14ac:dyDescent="0.3">
      <c r="A7" s="167"/>
      <c r="B7" s="168" t="s">
        <v>407</v>
      </c>
      <c r="C7" s="309" t="s">
        <v>371</v>
      </c>
      <c r="D7" s="310"/>
      <c r="E7" s="310"/>
      <c r="F7" s="310"/>
      <c r="G7" s="310"/>
      <c r="H7" s="310"/>
      <c r="I7" s="310"/>
      <c r="J7" s="310"/>
    </row>
    <row r="8" spans="1:25" ht="15" customHeight="1" x14ac:dyDescent="0.3">
      <c r="A8" s="169"/>
      <c r="B8" s="170" t="s">
        <v>409</v>
      </c>
      <c r="C8" s="311" t="s">
        <v>425</v>
      </c>
      <c r="D8" s="312"/>
      <c r="E8" s="312"/>
      <c r="F8" s="313"/>
      <c r="G8" s="319" t="s">
        <v>426</v>
      </c>
      <c r="H8" s="315"/>
      <c r="I8" s="307"/>
      <c r="J8" s="308"/>
    </row>
    <row r="9" spans="1:25" ht="15" customHeight="1" x14ac:dyDescent="0.3">
      <c r="A9" s="166"/>
      <c r="B9" s="171" t="s">
        <v>411</v>
      </c>
      <c r="C9" s="207">
        <v>58</v>
      </c>
      <c r="D9" s="317" t="s">
        <v>412</v>
      </c>
      <c r="E9" s="318"/>
      <c r="F9" s="172">
        <f>SUM(J12:J18)</f>
        <v>34.487800000000007</v>
      </c>
      <c r="G9" s="314" t="s">
        <v>427</v>
      </c>
      <c r="H9" s="315"/>
      <c r="I9" s="261">
        <f>F9/C9</f>
        <v>0.59461724137931049</v>
      </c>
      <c r="J9" s="270"/>
    </row>
    <row r="10" spans="1:25" ht="15" customHeight="1" x14ac:dyDescent="0.3">
      <c r="A10" s="174"/>
      <c r="B10" s="174"/>
      <c r="C10" s="174"/>
      <c r="D10" s="174"/>
      <c r="E10" s="174"/>
      <c r="F10" s="174"/>
      <c r="G10" s="174"/>
      <c r="H10" s="174"/>
      <c r="I10" s="166"/>
      <c r="J10" s="166"/>
    </row>
    <row r="11" spans="1:25" ht="15" customHeight="1" x14ac:dyDescent="0.3">
      <c r="A11" s="175" t="s">
        <v>414</v>
      </c>
      <c r="B11" s="219" t="s">
        <v>415</v>
      </c>
      <c r="C11" s="219" t="s">
        <v>416</v>
      </c>
      <c r="D11" s="219" t="s">
        <v>417</v>
      </c>
      <c r="E11" s="219" t="s">
        <v>418</v>
      </c>
      <c r="F11" s="219" t="s">
        <v>419</v>
      </c>
      <c r="G11" s="219" t="s">
        <v>420</v>
      </c>
      <c r="H11" s="219" t="s">
        <v>421</v>
      </c>
      <c r="I11" s="219" t="s">
        <v>422</v>
      </c>
      <c r="J11" s="220" t="s">
        <v>423</v>
      </c>
    </row>
    <row r="12" spans="1:25" ht="15" customHeight="1" x14ac:dyDescent="0.3">
      <c r="A12" s="177" t="s">
        <v>170</v>
      </c>
      <c r="B12" s="262">
        <v>7</v>
      </c>
      <c r="C12" s="263">
        <f>IF(ISNA(VLOOKUP(A12,'Listado de Artículos'!$B$16:$F$1328,5,0)),0,(VLOOKUP(A12,'Listado de Artículos'!$B$16:$F$1328,5,0)))</f>
        <v>3.2</v>
      </c>
      <c r="D12" s="262">
        <v>1</v>
      </c>
      <c r="E12" s="262">
        <v>1</v>
      </c>
      <c r="F12" s="264">
        <f t="shared" ref="F12:F18" si="0">IF(D12&gt;0,(E12/D12),"")</f>
        <v>1</v>
      </c>
      <c r="G12" s="264">
        <f t="shared" ref="G12:G18" si="1">IF(D12&gt;0,(100%-F12),"")</f>
        <v>0</v>
      </c>
      <c r="H12" s="265">
        <f t="shared" ref="H12:H18" si="2">IF(B12&gt;0,(G12*B12/F12),"")</f>
        <v>0</v>
      </c>
      <c r="I12" s="265">
        <f t="shared" ref="I12:I18" si="3">IF(B12&gt;0,(B12+H12),"")</f>
        <v>7</v>
      </c>
      <c r="J12" s="211">
        <f t="shared" ref="J12:J18" si="4">IF(C12&gt;0,(C12*I12),"")</f>
        <v>22.400000000000002</v>
      </c>
    </row>
    <row r="13" spans="1:25" ht="15" customHeight="1" x14ac:dyDescent="0.3">
      <c r="A13" s="177" t="s">
        <v>231</v>
      </c>
      <c r="B13" s="262">
        <v>2</v>
      </c>
      <c r="C13" s="263">
        <f>IF(ISNA(VLOOKUP(A13,'Listado de Artículos'!$B$16:$F$1328,5,0)),0,(VLOOKUP(A13,'Listado de Artículos'!$B$16:$F$1328,5,0)))</f>
        <v>1.38</v>
      </c>
      <c r="D13" s="262">
        <v>1</v>
      </c>
      <c r="E13" s="262">
        <v>1</v>
      </c>
      <c r="F13" s="264">
        <f t="shared" si="0"/>
        <v>1</v>
      </c>
      <c r="G13" s="264">
        <f t="shared" si="1"/>
        <v>0</v>
      </c>
      <c r="H13" s="265">
        <f t="shared" si="2"/>
        <v>0</v>
      </c>
      <c r="I13" s="265">
        <f t="shared" si="3"/>
        <v>2</v>
      </c>
      <c r="J13" s="211">
        <f t="shared" si="4"/>
        <v>2.76</v>
      </c>
    </row>
    <row r="14" spans="1:25" ht="15" customHeight="1" x14ac:dyDescent="0.3">
      <c r="A14" s="177" t="s">
        <v>139</v>
      </c>
      <c r="B14" s="262">
        <v>1</v>
      </c>
      <c r="C14" s="263">
        <f>IF(ISNA(VLOOKUP(A14,'Listado de Artículos'!$B$16:$F$1328,5,0)),0,(VLOOKUP(A14,'Listado de Artículos'!$B$16:$F$1328,5,0)))</f>
        <v>4.8499999999999996</v>
      </c>
      <c r="D14" s="262">
        <v>1</v>
      </c>
      <c r="E14" s="262">
        <v>1</v>
      </c>
      <c r="F14" s="264">
        <f t="shared" si="0"/>
        <v>1</v>
      </c>
      <c r="G14" s="264">
        <f t="shared" si="1"/>
        <v>0</v>
      </c>
      <c r="H14" s="265">
        <f t="shared" si="2"/>
        <v>0</v>
      </c>
      <c r="I14" s="265">
        <f t="shared" si="3"/>
        <v>1</v>
      </c>
      <c r="J14" s="211">
        <f t="shared" si="4"/>
        <v>4.8499999999999996</v>
      </c>
    </row>
    <row r="15" spans="1:25" ht="15" customHeight="1" x14ac:dyDescent="0.3">
      <c r="A15" s="221" t="s">
        <v>53</v>
      </c>
      <c r="B15" s="265">
        <v>0.5</v>
      </c>
      <c r="C15" s="294">
        <f>IF(ISNA(VLOOKUP(A15,'Listado de Artículos'!$B$16:$F$1328,5,0)),0,(VLOOKUP(A15,'Listado de Artículos'!$B$16:$F$1328,5,0)))</f>
        <v>6</v>
      </c>
      <c r="D15" s="265">
        <v>1</v>
      </c>
      <c r="E15" s="265">
        <v>1</v>
      </c>
      <c r="F15" s="264">
        <f t="shared" si="0"/>
        <v>1</v>
      </c>
      <c r="G15" s="264">
        <f t="shared" si="1"/>
        <v>0</v>
      </c>
      <c r="H15" s="265">
        <f t="shared" si="2"/>
        <v>0</v>
      </c>
      <c r="I15" s="265">
        <f t="shared" si="3"/>
        <v>0.5</v>
      </c>
      <c r="J15" s="211">
        <f t="shared" si="4"/>
        <v>3</v>
      </c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</row>
    <row r="16" spans="1:25" ht="15" customHeight="1" x14ac:dyDescent="0.3">
      <c r="A16" s="221" t="s">
        <v>155</v>
      </c>
      <c r="B16" s="265">
        <v>0.2</v>
      </c>
      <c r="C16" s="294">
        <f>IF(ISNA(VLOOKUP(A16,'Listado de Artículos'!$B$16:$F$1328,5,0)),0,(VLOOKUP(A16,'Listado de Artículos'!$B$16:$F$1328,5,0)))</f>
        <v>0.55000000000000004</v>
      </c>
      <c r="D16" s="265">
        <v>1</v>
      </c>
      <c r="E16" s="265">
        <v>1</v>
      </c>
      <c r="F16" s="264">
        <f t="shared" si="0"/>
        <v>1</v>
      </c>
      <c r="G16" s="264">
        <f t="shared" si="1"/>
        <v>0</v>
      </c>
      <c r="H16" s="265">
        <f t="shared" si="2"/>
        <v>0</v>
      </c>
      <c r="I16" s="265">
        <f t="shared" si="3"/>
        <v>0.2</v>
      </c>
      <c r="J16" s="211">
        <f t="shared" si="4"/>
        <v>0.11000000000000001</v>
      </c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</row>
    <row r="17" spans="1:25" ht="15" customHeight="1" x14ac:dyDescent="0.3">
      <c r="A17" s="221" t="s">
        <v>59</v>
      </c>
      <c r="B17" s="265">
        <v>0.02</v>
      </c>
      <c r="C17" s="294">
        <f>IF(ISNA(VLOOKUP(A17,'Listado de Artículos'!$B$16:$F$1328,5,0)),0,(VLOOKUP(A17,'Listado de Artículos'!$B$16:$F$1328,5,0)))</f>
        <v>28.59</v>
      </c>
      <c r="D17" s="265">
        <v>1</v>
      </c>
      <c r="E17" s="265">
        <v>1</v>
      </c>
      <c r="F17" s="264">
        <f t="shared" si="0"/>
        <v>1</v>
      </c>
      <c r="G17" s="264">
        <f t="shared" si="1"/>
        <v>0</v>
      </c>
      <c r="H17" s="265">
        <f t="shared" si="2"/>
        <v>0</v>
      </c>
      <c r="I17" s="265">
        <f t="shared" si="3"/>
        <v>0.02</v>
      </c>
      <c r="J17" s="211">
        <f t="shared" si="4"/>
        <v>0.57179999999999997</v>
      </c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</row>
    <row r="18" spans="1:25" ht="15" customHeight="1" x14ac:dyDescent="0.3">
      <c r="A18" s="221" t="s">
        <v>218</v>
      </c>
      <c r="B18" s="265">
        <v>0.2</v>
      </c>
      <c r="C18" s="294">
        <f>IF(ISNA(VLOOKUP(A18,'Listado de Artículos'!$B$16:$F$1328,5,0)),0,(VLOOKUP(A18,'Listado de Artículos'!$B$16:$F$1328,5,0)))</f>
        <v>3.98</v>
      </c>
      <c r="D18" s="265">
        <v>1</v>
      </c>
      <c r="E18" s="265">
        <v>1</v>
      </c>
      <c r="F18" s="264">
        <f t="shared" si="0"/>
        <v>1</v>
      </c>
      <c r="G18" s="264">
        <f t="shared" si="1"/>
        <v>0</v>
      </c>
      <c r="H18" s="265">
        <f t="shared" si="2"/>
        <v>0</v>
      </c>
      <c r="I18" s="265">
        <f t="shared" si="3"/>
        <v>0.2</v>
      </c>
      <c r="J18" s="211">
        <f t="shared" si="4"/>
        <v>0.79600000000000004</v>
      </c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</row>
    <row r="19" spans="1:25" ht="15" customHeight="1" x14ac:dyDescent="0.3">
      <c r="A19" s="165"/>
      <c r="B19" s="165"/>
      <c r="C19" s="165"/>
      <c r="D19" s="165"/>
      <c r="E19" s="165"/>
      <c r="F19" s="165"/>
      <c r="G19" s="165"/>
      <c r="H19" s="165"/>
      <c r="I19" s="165"/>
      <c r="J19" s="165"/>
    </row>
    <row r="22" spans="1:25" ht="15" customHeight="1" x14ac:dyDescent="0.3">
      <c r="A22" s="167"/>
      <c r="B22" s="168" t="s">
        <v>407</v>
      </c>
      <c r="C22" s="309" t="s">
        <v>484</v>
      </c>
      <c r="D22" s="310"/>
      <c r="E22" s="310"/>
      <c r="F22" s="310"/>
      <c r="G22" s="310"/>
      <c r="H22" s="310"/>
      <c r="I22" s="310"/>
      <c r="J22" s="310"/>
    </row>
    <row r="23" spans="1:25" ht="15" customHeight="1" x14ac:dyDescent="0.3">
      <c r="A23" s="169"/>
      <c r="B23" s="170" t="s">
        <v>409</v>
      </c>
      <c r="C23" s="311" t="s">
        <v>425</v>
      </c>
      <c r="D23" s="312"/>
      <c r="E23" s="312"/>
      <c r="F23" s="313"/>
      <c r="G23" s="319" t="s">
        <v>426</v>
      </c>
      <c r="H23" s="315"/>
      <c r="I23" s="307"/>
      <c r="J23" s="308"/>
    </row>
    <row r="24" spans="1:25" ht="15" customHeight="1" x14ac:dyDescent="0.3">
      <c r="A24" s="166"/>
      <c r="B24" s="171" t="s">
        <v>411</v>
      </c>
      <c r="C24" s="207">
        <v>58</v>
      </c>
      <c r="D24" s="317" t="s">
        <v>412</v>
      </c>
      <c r="E24" s="318"/>
      <c r="F24" s="172">
        <f>SUM(J27:J37)</f>
        <v>1739.9340000000002</v>
      </c>
      <c r="G24" s="314" t="s">
        <v>427</v>
      </c>
      <c r="H24" s="315"/>
      <c r="I24" s="261">
        <f>F24/C24</f>
        <v>29.998862068965522</v>
      </c>
      <c r="J24" s="270"/>
    </row>
    <row r="25" spans="1:25" ht="15" customHeight="1" x14ac:dyDescent="0.3">
      <c r="A25" s="174"/>
      <c r="B25" s="174"/>
      <c r="C25" s="174"/>
      <c r="D25" s="174"/>
      <c r="E25" s="174"/>
      <c r="F25" s="174"/>
      <c r="G25" s="174"/>
      <c r="H25" s="174"/>
      <c r="I25" s="166"/>
      <c r="J25" s="166"/>
    </row>
    <row r="26" spans="1:25" ht="15" customHeight="1" x14ac:dyDescent="0.3">
      <c r="A26" s="175" t="s">
        <v>414</v>
      </c>
      <c r="B26" s="219" t="s">
        <v>415</v>
      </c>
      <c r="C26" s="219" t="s">
        <v>416</v>
      </c>
      <c r="D26" s="219" t="s">
        <v>417</v>
      </c>
      <c r="E26" s="219" t="s">
        <v>418</v>
      </c>
      <c r="F26" s="219" t="s">
        <v>419</v>
      </c>
      <c r="G26" s="219" t="s">
        <v>420</v>
      </c>
      <c r="H26" s="219" t="s">
        <v>421</v>
      </c>
      <c r="I26" s="219" t="s">
        <v>422</v>
      </c>
      <c r="J26" s="220" t="s">
        <v>423</v>
      </c>
    </row>
    <row r="27" spans="1:25" ht="15" customHeight="1" x14ac:dyDescent="0.3">
      <c r="A27" s="177" t="s">
        <v>365</v>
      </c>
      <c r="B27" s="262">
        <v>9</v>
      </c>
      <c r="C27" s="263">
        <f>IF(ISNA(VLOOKUP(A27,'Listado de Artículos'!$B$16:$F$1328,5,0)),0,(VLOOKUP(A27,'Listado de Artículos'!$B$16:$F$1328,5,0)))</f>
        <v>5.35</v>
      </c>
      <c r="D27" s="262">
        <v>1</v>
      </c>
      <c r="E27" s="262">
        <v>1</v>
      </c>
      <c r="F27" s="264">
        <f t="shared" ref="F27:F37" si="5">IF(D27&gt;0,(E27/D27),"")</f>
        <v>1</v>
      </c>
      <c r="G27" s="264">
        <f t="shared" ref="G27:G37" si="6">IF(D27&gt;0,(100%-F27),"")</f>
        <v>0</v>
      </c>
      <c r="H27" s="265">
        <f t="shared" ref="H27:H37" si="7">IF(B27&gt;0,(G27*B27/F27),"")</f>
        <v>0</v>
      </c>
      <c r="I27" s="265">
        <f t="shared" ref="I27:I37" si="8">IF(B27&gt;0,(B27+H27),"")</f>
        <v>9</v>
      </c>
      <c r="J27" s="211">
        <f t="shared" ref="J27:J37" si="9">IF(C27&gt;0,(C27*I27),"")</f>
        <v>48.15</v>
      </c>
    </row>
    <row r="28" spans="1:25" ht="15" customHeight="1" x14ac:dyDescent="0.3">
      <c r="A28" s="177" t="s">
        <v>59</v>
      </c>
      <c r="B28" s="262">
        <v>0.1</v>
      </c>
      <c r="C28" s="263">
        <f>IF(ISNA(VLOOKUP(A28,'Listado de Artículos'!$B$16:$F$1328,5,0)),0,(VLOOKUP(A28,'Listado de Artículos'!$B$16:$F$1328,5,0)))</f>
        <v>28.59</v>
      </c>
      <c r="D28" s="262">
        <v>1</v>
      </c>
      <c r="E28" s="262">
        <v>1</v>
      </c>
      <c r="F28" s="264">
        <f t="shared" si="5"/>
        <v>1</v>
      </c>
      <c r="G28" s="264">
        <f t="shared" si="6"/>
        <v>0</v>
      </c>
      <c r="H28" s="265">
        <f t="shared" si="7"/>
        <v>0</v>
      </c>
      <c r="I28" s="265">
        <f t="shared" si="8"/>
        <v>0.1</v>
      </c>
      <c r="J28" s="211">
        <f t="shared" si="9"/>
        <v>2.859</v>
      </c>
    </row>
    <row r="29" spans="1:25" ht="13.8" customHeight="1" x14ac:dyDescent="0.3">
      <c r="A29" s="177" t="s">
        <v>136</v>
      </c>
      <c r="B29" s="262">
        <v>1</v>
      </c>
      <c r="C29" s="263">
        <f>IF(ISNA(VLOOKUP(A29,'Listado de Artículos'!$B$16:$F$1328,5,0)),0,(VLOOKUP(A29,'Listado de Artículos'!$B$16:$F$1328,5,0)))</f>
        <v>4.5</v>
      </c>
      <c r="D29" s="262">
        <v>1</v>
      </c>
      <c r="E29" s="262">
        <v>1</v>
      </c>
      <c r="F29" s="264">
        <f t="shared" si="5"/>
        <v>1</v>
      </c>
      <c r="G29" s="264">
        <f t="shared" si="6"/>
        <v>0</v>
      </c>
      <c r="H29" s="265">
        <f t="shared" si="7"/>
        <v>0</v>
      </c>
      <c r="I29" s="265">
        <f t="shared" si="8"/>
        <v>1</v>
      </c>
      <c r="J29" s="211">
        <f t="shared" si="9"/>
        <v>4.5</v>
      </c>
    </row>
    <row r="30" spans="1:25" ht="13.8" customHeight="1" x14ac:dyDescent="0.3">
      <c r="A30" s="221" t="s">
        <v>360</v>
      </c>
      <c r="B30" s="265">
        <v>0.14000000000000001</v>
      </c>
      <c r="C30" s="294">
        <f>IF(ISNA(VLOOKUP(A30,'Listado de Artículos'!$B$16:$F$1328,5,0)),0,(VLOOKUP(A30,'Listado de Artículos'!$B$16:$F$1328,5,0)))</f>
        <v>4.25</v>
      </c>
      <c r="D30" s="265">
        <v>1</v>
      </c>
      <c r="E30" s="265">
        <v>1</v>
      </c>
      <c r="F30" s="264">
        <f t="shared" si="5"/>
        <v>1</v>
      </c>
      <c r="G30" s="264">
        <f t="shared" si="6"/>
        <v>0</v>
      </c>
      <c r="H30" s="265">
        <f t="shared" si="7"/>
        <v>0</v>
      </c>
      <c r="I30" s="265">
        <f t="shared" si="8"/>
        <v>0.14000000000000001</v>
      </c>
      <c r="J30" s="211">
        <f t="shared" si="9"/>
        <v>0.59500000000000008</v>
      </c>
    </row>
    <row r="31" spans="1:25" ht="13.8" customHeight="1" x14ac:dyDescent="0.3">
      <c r="A31" s="221" t="s">
        <v>304</v>
      </c>
      <c r="B31" s="265">
        <v>0.3</v>
      </c>
      <c r="C31" s="294">
        <f>IF(ISNA(VLOOKUP(A31,'Listado de Artículos'!$B$16:$F$1328,5,0)),0,(VLOOKUP(A31,'Listado de Artículos'!$B$16:$F$1328,5,0)))</f>
        <v>19.899999999999999</v>
      </c>
      <c r="D31" s="265">
        <v>1</v>
      </c>
      <c r="E31" s="265">
        <v>1</v>
      </c>
      <c r="F31" s="264">
        <f t="shared" si="5"/>
        <v>1</v>
      </c>
      <c r="G31" s="264">
        <f t="shared" si="6"/>
        <v>0</v>
      </c>
      <c r="H31" s="265">
        <f t="shared" si="7"/>
        <v>0</v>
      </c>
      <c r="I31" s="265">
        <f t="shared" si="8"/>
        <v>0.3</v>
      </c>
      <c r="J31" s="211">
        <f t="shared" si="9"/>
        <v>5.97</v>
      </c>
    </row>
    <row r="32" spans="1:25" ht="13.8" customHeight="1" x14ac:dyDescent="0.3">
      <c r="A32" s="221" t="s">
        <v>240</v>
      </c>
      <c r="B32" s="265">
        <v>0.25</v>
      </c>
      <c r="C32" s="294">
        <f>IF(ISNA(VLOOKUP(A32,'Listado de Artículos'!$B$16:$F$1328,5,0)),0,(VLOOKUP(A32,'Listado de Artículos'!$B$16:$F$1328,5,0)))</f>
        <v>16.72</v>
      </c>
      <c r="D32" s="265">
        <v>1</v>
      </c>
      <c r="E32" s="265">
        <v>1</v>
      </c>
      <c r="F32" s="264">
        <f t="shared" si="5"/>
        <v>1</v>
      </c>
      <c r="G32" s="264">
        <f t="shared" si="6"/>
        <v>0</v>
      </c>
      <c r="H32" s="265">
        <f t="shared" si="7"/>
        <v>0</v>
      </c>
      <c r="I32" s="265">
        <f t="shared" si="8"/>
        <v>0.25</v>
      </c>
      <c r="J32" s="211">
        <f t="shared" si="9"/>
        <v>4.18</v>
      </c>
    </row>
    <row r="33" spans="1:25" ht="13.8" customHeight="1" x14ac:dyDescent="0.3">
      <c r="A33" s="221" t="s">
        <v>370</v>
      </c>
      <c r="B33" s="265">
        <v>1</v>
      </c>
      <c r="C33" s="294">
        <f>IF(ISNA(VLOOKUP(A33,'Listado de Artículos'!$B$16:$F$1328,5,0)),0,(VLOOKUP(A33,'Listado de Artículos'!$B$16:$F$1328,5,0)))</f>
        <v>6.75</v>
      </c>
      <c r="D33" s="265">
        <v>1</v>
      </c>
      <c r="E33" s="265">
        <v>1</v>
      </c>
      <c r="F33" s="264">
        <f t="shared" si="5"/>
        <v>1</v>
      </c>
      <c r="G33" s="264">
        <f t="shared" si="6"/>
        <v>0</v>
      </c>
      <c r="H33" s="265">
        <f t="shared" si="7"/>
        <v>0</v>
      </c>
      <c r="I33" s="265">
        <f t="shared" si="8"/>
        <v>1</v>
      </c>
      <c r="J33" s="211">
        <f t="shared" si="9"/>
        <v>6.75</v>
      </c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</row>
    <row r="34" spans="1:25" ht="13.8" customHeight="1" x14ac:dyDescent="0.3">
      <c r="A34" s="221" t="s">
        <v>325</v>
      </c>
      <c r="B34" s="265">
        <v>1</v>
      </c>
      <c r="C34" s="294">
        <f>IF(ISNA(VLOOKUP(A34,'Listado de Artículos'!$B$16:$F$1328,5,0)),0,(VLOOKUP(A34,'Listado de Artículos'!$B$16:$F$1328,5,0)))</f>
        <v>1660</v>
      </c>
      <c r="D34" s="265">
        <v>1</v>
      </c>
      <c r="E34" s="265">
        <v>1</v>
      </c>
      <c r="F34" s="264">
        <f t="shared" si="5"/>
        <v>1</v>
      </c>
      <c r="G34" s="264">
        <f t="shared" si="6"/>
        <v>0</v>
      </c>
      <c r="H34" s="265">
        <f t="shared" si="7"/>
        <v>0</v>
      </c>
      <c r="I34" s="265">
        <f t="shared" si="8"/>
        <v>1</v>
      </c>
      <c r="J34" s="211">
        <f t="shared" si="9"/>
        <v>1660</v>
      </c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</row>
    <row r="35" spans="1:25" ht="13.8" customHeight="1" x14ac:dyDescent="0.3">
      <c r="A35" s="221" t="s">
        <v>327</v>
      </c>
      <c r="B35" s="265">
        <v>1</v>
      </c>
      <c r="C35" s="294">
        <f>IF(ISNA(VLOOKUP(A35,'Listado de Artículos'!$B$16:$F$1328,5,0)),0,(VLOOKUP(A35,'Listado de Artículos'!$B$16:$F$1328,5,0)))</f>
        <v>3.15</v>
      </c>
      <c r="D35" s="265">
        <v>1</v>
      </c>
      <c r="E35" s="265">
        <v>1</v>
      </c>
      <c r="F35" s="264">
        <f t="shared" si="5"/>
        <v>1</v>
      </c>
      <c r="G35" s="264">
        <f t="shared" si="6"/>
        <v>0</v>
      </c>
      <c r="H35" s="265">
        <f t="shared" si="7"/>
        <v>0</v>
      </c>
      <c r="I35" s="265">
        <f t="shared" si="8"/>
        <v>1</v>
      </c>
      <c r="J35" s="211">
        <f t="shared" si="9"/>
        <v>3.15</v>
      </c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</row>
    <row r="36" spans="1:25" ht="13.8" customHeight="1" x14ac:dyDescent="0.3">
      <c r="A36" s="221" t="s">
        <v>231</v>
      </c>
      <c r="B36" s="265">
        <v>1</v>
      </c>
      <c r="C36" s="294">
        <f>IF(ISNA(VLOOKUP(A36,'Listado de Artículos'!$B$16:$F$1328,5,0)),0,(VLOOKUP(A36,'Listado de Artículos'!$B$16:$F$1328,5,0)))</f>
        <v>1.38</v>
      </c>
      <c r="D36" s="265">
        <v>1</v>
      </c>
      <c r="E36" s="265">
        <v>1</v>
      </c>
      <c r="F36" s="264">
        <f t="shared" si="5"/>
        <v>1</v>
      </c>
      <c r="G36" s="264">
        <f t="shared" si="6"/>
        <v>0</v>
      </c>
      <c r="H36" s="265">
        <f t="shared" si="7"/>
        <v>0</v>
      </c>
      <c r="I36" s="265">
        <f t="shared" si="8"/>
        <v>1</v>
      </c>
      <c r="J36" s="211">
        <f t="shared" si="9"/>
        <v>1.38</v>
      </c>
    </row>
    <row r="37" spans="1:25" ht="13.8" customHeight="1" x14ac:dyDescent="0.3">
      <c r="A37" s="221" t="s">
        <v>352</v>
      </c>
      <c r="B37" s="265">
        <v>2</v>
      </c>
      <c r="C37" s="294">
        <f>IF(ISNA(VLOOKUP(A37,'Listado de Artículos'!$B$16:$F$1328,5,0)),0,(VLOOKUP(A37,'Listado de Artículos'!$B$16:$F$1328,5,0)))</f>
        <v>1.2</v>
      </c>
      <c r="D37" s="265">
        <v>1</v>
      </c>
      <c r="E37" s="265">
        <v>1</v>
      </c>
      <c r="F37" s="264">
        <f t="shared" si="5"/>
        <v>1</v>
      </c>
      <c r="G37" s="264">
        <f t="shared" si="6"/>
        <v>0</v>
      </c>
      <c r="H37" s="265">
        <f t="shared" si="7"/>
        <v>0</v>
      </c>
      <c r="I37" s="265">
        <f t="shared" si="8"/>
        <v>2</v>
      </c>
      <c r="J37" s="211">
        <f t="shared" si="9"/>
        <v>2.4</v>
      </c>
    </row>
    <row r="38" spans="1:25" ht="13.8" customHeight="1" x14ac:dyDescent="0.3">
      <c r="A38" s="165"/>
      <c r="B38" s="165"/>
      <c r="C38" s="165"/>
      <c r="D38" s="165"/>
      <c r="E38" s="165"/>
      <c r="F38" s="165"/>
      <c r="G38" s="165"/>
      <c r="H38" s="165"/>
      <c r="I38" s="165"/>
      <c r="J38" s="165"/>
    </row>
    <row r="41" spans="1:25" ht="15.6" customHeight="1" x14ac:dyDescent="0.3">
      <c r="A41" s="167"/>
      <c r="B41" s="168" t="s">
        <v>407</v>
      </c>
      <c r="C41" s="309" t="s">
        <v>370</v>
      </c>
      <c r="D41" s="310"/>
      <c r="E41" s="310"/>
      <c r="F41" s="310"/>
      <c r="G41" s="310"/>
      <c r="H41" s="310"/>
      <c r="I41" s="310"/>
      <c r="J41" s="310"/>
    </row>
    <row r="42" spans="1:25" ht="15.6" customHeight="1" x14ac:dyDescent="0.3">
      <c r="A42" s="169"/>
      <c r="B42" s="170" t="s">
        <v>409</v>
      </c>
      <c r="C42" s="311" t="s">
        <v>425</v>
      </c>
      <c r="D42" s="312"/>
      <c r="E42" s="312"/>
      <c r="F42" s="313"/>
      <c r="G42" s="319" t="s">
        <v>426</v>
      </c>
      <c r="H42" s="315"/>
      <c r="I42" s="307"/>
      <c r="J42" s="308"/>
    </row>
    <row r="43" spans="1:25" ht="15.6" customHeight="1" x14ac:dyDescent="0.3">
      <c r="A43" s="166"/>
      <c r="B43" s="171" t="s">
        <v>411</v>
      </c>
      <c r="C43" s="207">
        <v>1</v>
      </c>
      <c r="D43" s="317" t="s">
        <v>412</v>
      </c>
      <c r="E43" s="318"/>
      <c r="F43" s="172">
        <f>SUM(J46:J48)</f>
        <v>7.7750000000000004</v>
      </c>
      <c r="G43" s="314" t="s">
        <v>427</v>
      </c>
      <c r="H43" s="315"/>
      <c r="I43" s="261">
        <f>F43/C43</f>
        <v>7.7750000000000004</v>
      </c>
      <c r="J43" s="270"/>
    </row>
    <row r="44" spans="1:25" ht="13.8" customHeight="1" x14ac:dyDescent="0.3">
      <c r="A44" s="174"/>
      <c r="B44" s="174"/>
      <c r="C44" s="174"/>
      <c r="D44" s="174"/>
      <c r="E44" s="174"/>
      <c r="F44" s="174"/>
      <c r="G44" s="174"/>
      <c r="H44" s="174"/>
      <c r="I44" s="166"/>
      <c r="J44" s="166"/>
    </row>
    <row r="45" spans="1:25" ht="13.8" customHeight="1" x14ac:dyDescent="0.3">
      <c r="A45" s="175" t="s">
        <v>414</v>
      </c>
      <c r="B45" s="219" t="s">
        <v>415</v>
      </c>
      <c r="C45" s="219" t="s">
        <v>416</v>
      </c>
      <c r="D45" s="219" t="s">
        <v>417</v>
      </c>
      <c r="E45" s="219" t="s">
        <v>418</v>
      </c>
      <c r="F45" s="219" t="s">
        <v>419</v>
      </c>
      <c r="G45" s="219" t="s">
        <v>420</v>
      </c>
      <c r="H45" s="219" t="s">
        <v>421</v>
      </c>
      <c r="I45" s="219" t="s">
        <v>422</v>
      </c>
      <c r="J45" s="220" t="s">
        <v>423</v>
      </c>
    </row>
    <row r="46" spans="1:25" ht="13.8" customHeight="1" x14ac:dyDescent="0.3">
      <c r="A46" s="177" t="s">
        <v>136</v>
      </c>
      <c r="B46" s="262">
        <v>1</v>
      </c>
      <c r="C46" s="263">
        <f>IF(ISNA(VLOOKUP(A46,'Listado de Artículos'!$B$16:$F$1328,5,0)),0,(VLOOKUP(A46,'Listado de Artículos'!$B$16:$F$1328,5,0)))</f>
        <v>4.5</v>
      </c>
      <c r="D46" s="262">
        <v>1</v>
      </c>
      <c r="E46" s="262">
        <v>1</v>
      </c>
      <c r="F46" s="264">
        <f>IF(D46&gt;0,(E46/D46),"")</f>
        <v>1</v>
      </c>
      <c r="G46" s="264">
        <f>IF(D46&gt;0,(100%-F46),"")</f>
        <v>0</v>
      </c>
      <c r="H46" s="265">
        <f>IF(B46&gt;0,(G46*B46/F46),"")</f>
        <v>0</v>
      </c>
      <c r="I46" s="265">
        <f>IF(B46&gt;0,(B46+H46),"")</f>
        <v>1</v>
      </c>
      <c r="J46" s="211">
        <f>IF(C46&gt;0,(C46*I46),"")</f>
        <v>4.5</v>
      </c>
    </row>
    <row r="47" spans="1:25" ht="13.8" customHeight="1" x14ac:dyDescent="0.3">
      <c r="A47" s="177" t="s">
        <v>155</v>
      </c>
      <c r="B47" s="262">
        <v>0.5</v>
      </c>
      <c r="C47" s="263">
        <f>IF(ISNA(VLOOKUP(A47,'Listado de Artículos'!$B$16:$F$1328,5,0)),0,(VLOOKUP(A47,'Listado de Artículos'!$B$16:$F$1328,5,0)))</f>
        <v>0.55000000000000004</v>
      </c>
      <c r="D47" s="262">
        <v>1</v>
      </c>
      <c r="E47" s="262">
        <v>1</v>
      </c>
      <c r="F47" s="264">
        <f>IF(D47&gt;0,(E47/D47),"")</f>
        <v>1</v>
      </c>
      <c r="G47" s="264">
        <f>IF(D47&gt;0,(100%-F47),"")</f>
        <v>0</v>
      </c>
      <c r="H47" s="265">
        <f>IF(B47&gt;0,(G47*B47/F47),"")</f>
        <v>0</v>
      </c>
      <c r="I47" s="265">
        <f>IF(B47&gt;0,(B47+H47),"")</f>
        <v>0.5</v>
      </c>
      <c r="J47" s="211">
        <f>IF(C47&gt;0,(C47*I47),"")</f>
        <v>0.27500000000000002</v>
      </c>
    </row>
    <row r="48" spans="1:25" ht="13.8" customHeight="1" x14ac:dyDescent="0.3">
      <c r="A48" s="177" t="s">
        <v>348</v>
      </c>
      <c r="B48" s="262">
        <v>2</v>
      </c>
      <c r="C48" s="263">
        <f>IF(ISNA(VLOOKUP(A48,'Listado de Artículos'!$B$16:$F$1328,5,0)),0,(VLOOKUP(A48,'Listado de Artículos'!$B$16:$F$1328,5,0)))</f>
        <v>1.5</v>
      </c>
      <c r="D48" s="262">
        <v>1</v>
      </c>
      <c r="E48" s="262">
        <v>1</v>
      </c>
      <c r="F48" s="264">
        <f>IF(D48&gt;0,(E48/D48),"")</f>
        <v>1</v>
      </c>
      <c r="G48" s="264">
        <f>IF(D48&gt;0,(100%-F48),"")</f>
        <v>0</v>
      </c>
      <c r="H48" s="265">
        <f>IF(B48&gt;0,(G48*B48/F48),"")</f>
        <v>0</v>
      </c>
      <c r="I48" s="265">
        <f>IF(B48&gt;0,(B48+H48),"")</f>
        <v>2</v>
      </c>
      <c r="J48" s="211">
        <f>IF(C48&gt;0,(C48*I48),"")</f>
        <v>3</v>
      </c>
    </row>
    <row r="49" spans="1:10" ht="13.8" customHeight="1" x14ac:dyDescent="0.3">
      <c r="A49" s="165"/>
      <c r="B49" s="165"/>
      <c r="C49" s="165"/>
      <c r="D49" s="165"/>
      <c r="E49" s="165"/>
      <c r="F49" s="165"/>
      <c r="G49" s="165"/>
      <c r="H49" s="165"/>
      <c r="I49" s="165"/>
      <c r="J49" s="165"/>
    </row>
    <row r="51" spans="1:10" ht="15.6" customHeight="1" x14ac:dyDescent="0.3">
      <c r="A51" s="259"/>
      <c r="B51" s="213" t="s">
        <v>407</v>
      </c>
      <c r="C51" s="332" t="s">
        <v>485</v>
      </c>
      <c r="D51" s="310"/>
      <c r="E51" s="310"/>
      <c r="F51" s="310"/>
      <c r="G51" s="310"/>
      <c r="H51" s="310"/>
      <c r="I51" s="310"/>
      <c r="J51" s="310"/>
    </row>
    <row r="52" spans="1:10" ht="15.6" customHeight="1" x14ac:dyDescent="0.3">
      <c r="A52" s="212"/>
      <c r="B52" s="214" t="s">
        <v>409</v>
      </c>
      <c r="C52" s="335" t="s">
        <v>425</v>
      </c>
      <c r="D52" s="312"/>
      <c r="E52" s="312"/>
      <c r="F52" s="313"/>
      <c r="G52" s="333" t="s">
        <v>426</v>
      </c>
      <c r="H52" s="315"/>
      <c r="I52" s="336"/>
      <c r="J52" s="308"/>
    </row>
    <row r="53" spans="1:10" ht="15.6" customHeight="1" x14ac:dyDescent="0.3">
      <c r="A53" s="259"/>
      <c r="B53" s="215" t="s">
        <v>411</v>
      </c>
      <c r="C53" s="216">
        <v>58</v>
      </c>
      <c r="D53" s="331" t="s">
        <v>412</v>
      </c>
      <c r="E53" s="318"/>
      <c r="F53" s="217">
        <f>SUM(J56:J59)</f>
        <v>48.55</v>
      </c>
      <c r="G53" s="330" t="s">
        <v>427</v>
      </c>
      <c r="H53" s="315"/>
      <c r="I53" s="295">
        <f>F53/C53</f>
        <v>0.8370689655172413</v>
      </c>
      <c r="J53" s="296"/>
    </row>
    <row r="54" spans="1:10" ht="13.2" customHeight="1" x14ac:dyDescent="0.25">
      <c r="A54" s="259"/>
      <c r="B54" s="259"/>
      <c r="C54" s="259"/>
      <c r="D54" s="259"/>
      <c r="E54" s="259"/>
      <c r="F54" s="259"/>
      <c r="G54" s="259"/>
      <c r="H54" s="259"/>
      <c r="I54" s="259"/>
      <c r="J54" s="259"/>
    </row>
    <row r="55" spans="1:10" ht="13.8" customHeight="1" x14ac:dyDescent="0.3">
      <c r="A55" s="218" t="s">
        <v>414</v>
      </c>
      <c r="B55" s="219" t="s">
        <v>415</v>
      </c>
      <c r="C55" s="219" t="s">
        <v>416</v>
      </c>
      <c r="D55" s="219" t="s">
        <v>417</v>
      </c>
      <c r="E55" s="219" t="s">
        <v>418</v>
      </c>
      <c r="F55" s="219" t="s">
        <v>419</v>
      </c>
      <c r="G55" s="219" t="s">
        <v>420</v>
      </c>
      <c r="H55" s="219" t="s">
        <v>421</v>
      </c>
      <c r="I55" s="219" t="s">
        <v>422</v>
      </c>
      <c r="J55" s="220" t="s">
        <v>423</v>
      </c>
    </row>
    <row r="56" spans="1:10" ht="13.8" customHeight="1" x14ac:dyDescent="0.3">
      <c r="A56" s="221" t="s">
        <v>51</v>
      </c>
      <c r="B56" s="265">
        <v>8</v>
      </c>
      <c r="C56" s="294">
        <f>IF(ISNA(VLOOKUP(A56,'Listado de Artículos'!$B$16:$F$1328,5,0)),0,(VLOOKUP(A56,'Listado de Artículos'!$B$16:$F$1328,5,0)))</f>
        <v>5.65</v>
      </c>
      <c r="D56" s="265">
        <v>1</v>
      </c>
      <c r="E56" s="265">
        <v>1</v>
      </c>
      <c r="F56" s="264">
        <f>IF(D56&gt;0,(E56/D56),"")</f>
        <v>1</v>
      </c>
      <c r="G56" s="264">
        <f>IF(D56&gt;0,(100%-F56),"")</f>
        <v>0</v>
      </c>
      <c r="H56" s="265">
        <f>IF(B56&gt;0,(G56*B56/F56),"")</f>
        <v>0</v>
      </c>
      <c r="I56" s="265">
        <f>IF(B56&gt;0,(B56+H56),"")</f>
        <v>8</v>
      </c>
      <c r="J56" s="211">
        <f>IF(C56&gt;0,(C56*I56),"")</f>
        <v>45.2</v>
      </c>
    </row>
    <row r="57" spans="1:10" ht="13.8" customHeight="1" x14ac:dyDescent="0.3">
      <c r="A57" s="221" t="s">
        <v>255</v>
      </c>
      <c r="B57" s="265">
        <v>0.5</v>
      </c>
      <c r="C57" s="294">
        <f>IF(ISNA(VLOOKUP(A57,'Listado de Artículos'!$B$16:$F$1328,5,0)),0,(VLOOKUP(A57,'Listado de Artículos'!$B$16:$F$1328,5,0)))</f>
        <v>0.82</v>
      </c>
      <c r="D57" s="265">
        <v>1</v>
      </c>
      <c r="E57" s="265">
        <v>1</v>
      </c>
      <c r="F57" s="264">
        <f>IF(D57&gt;0,(E57/D57),"")</f>
        <v>1</v>
      </c>
      <c r="G57" s="264">
        <f>IF(D57&gt;0,(100%-F57),"")</f>
        <v>0</v>
      </c>
      <c r="H57" s="265">
        <f>IF(B57&gt;0,(G57*B57/F57),"")</f>
        <v>0</v>
      </c>
      <c r="I57" s="265">
        <f>IF(B57&gt;0,(B57+H57),"")</f>
        <v>0.5</v>
      </c>
      <c r="J57" s="211">
        <f>IF(C57&gt;0,(C57*I57),"")</f>
        <v>0.41</v>
      </c>
    </row>
    <row r="58" spans="1:10" ht="13.8" customHeight="1" x14ac:dyDescent="0.3">
      <c r="A58" s="221" t="s">
        <v>136</v>
      </c>
      <c r="B58" s="265">
        <v>0.04</v>
      </c>
      <c r="C58" s="294">
        <f>IF(ISNA(VLOOKUP(A58,'Listado de Artículos'!$B$16:$F$1328,5,0)),0,(VLOOKUP(A58,'Listado de Artículos'!$B$16:$F$1328,5,0)))</f>
        <v>4.5</v>
      </c>
      <c r="D58" s="265">
        <v>1</v>
      </c>
      <c r="E58" s="265">
        <v>1</v>
      </c>
      <c r="F58" s="264">
        <f>IF(D58&gt;0,(E58/D58),"")</f>
        <v>1</v>
      </c>
      <c r="G58" s="264">
        <f>IF(D58&gt;0,(100%-F58),"")</f>
        <v>0</v>
      </c>
      <c r="H58" s="265">
        <f>IF(B58&gt;0,(G58*B58/F58),"")</f>
        <v>0</v>
      </c>
      <c r="I58" s="265">
        <f>IF(B58&gt;0,(B58+H58),"")</f>
        <v>0.04</v>
      </c>
      <c r="J58" s="211">
        <f>IF(C58&gt;0,(C58*I58),"")</f>
        <v>0.18</v>
      </c>
    </row>
    <row r="59" spans="1:10" ht="13.8" customHeight="1" x14ac:dyDescent="0.3">
      <c r="A59" s="221" t="s">
        <v>231</v>
      </c>
      <c r="B59" s="265">
        <v>2</v>
      </c>
      <c r="C59" s="294">
        <f>IF(ISNA(VLOOKUP(A59,'Listado de Artículos'!$B$16:$F$1328,5,0)),0,(VLOOKUP(A59,'Listado de Artículos'!$B$16:$F$1328,5,0)))</f>
        <v>1.38</v>
      </c>
      <c r="D59" s="265">
        <v>1</v>
      </c>
      <c r="E59" s="265">
        <v>1</v>
      </c>
      <c r="F59" s="264">
        <f>IF(D59&gt;0,(E59/D59),"")</f>
        <v>1</v>
      </c>
      <c r="G59" s="264">
        <f>IF(D59&gt;0,(100%-F59),"")</f>
        <v>0</v>
      </c>
      <c r="H59" s="265">
        <f>IF(B59&gt;0,(G59*B59/F59),"")</f>
        <v>0</v>
      </c>
      <c r="I59" s="265">
        <f>IF(B59&gt;0,(B59+H59),"")</f>
        <v>2</v>
      </c>
      <c r="J59" s="211">
        <f>IF(C59&gt;0,(C59*I59),"")</f>
        <v>2.76</v>
      </c>
    </row>
    <row r="60" spans="1:10" ht="13.2" customHeight="1" x14ac:dyDescent="0.25">
      <c r="A60" s="222"/>
      <c r="B60" s="222"/>
      <c r="C60" s="222"/>
      <c r="D60" s="222"/>
      <c r="E60" s="222"/>
      <c r="F60" s="222"/>
      <c r="G60" s="222"/>
      <c r="H60" s="222"/>
      <c r="I60" s="222"/>
      <c r="J60" s="222"/>
    </row>
    <row r="62" spans="1:10" ht="15.6" customHeight="1" x14ac:dyDescent="0.3">
      <c r="A62" s="259"/>
      <c r="B62" s="213" t="s">
        <v>407</v>
      </c>
      <c r="C62" s="332" t="s">
        <v>374</v>
      </c>
      <c r="D62" s="310"/>
      <c r="E62" s="310"/>
      <c r="F62" s="310"/>
      <c r="G62" s="310"/>
      <c r="H62" s="310"/>
      <c r="I62" s="310"/>
      <c r="J62" s="310"/>
    </row>
    <row r="63" spans="1:10" ht="15.6" customHeight="1" x14ac:dyDescent="0.3">
      <c r="A63" s="212"/>
      <c r="B63" s="214" t="s">
        <v>409</v>
      </c>
      <c r="C63" s="335" t="s">
        <v>425</v>
      </c>
      <c r="D63" s="312"/>
      <c r="E63" s="312"/>
      <c r="F63" s="313"/>
      <c r="G63" s="333" t="s">
        <v>426</v>
      </c>
      <c r="H63" s="315"/>
      <c r="I63" s="336"/>
      <c r="J63" s="308"/>
    </row>
    <row r="64" spans="1:10" ht="15.6" customHeight="1" x14ac:dyDescent="0.3">
      <c r="A64" s="259"/>
      <c r="B64" s="215" t="s">
        <v>411</v>
      </c>
      <c r="C64" s="216">
        <v>1</v>
      </c>
      <c r="D64" s="331" t="s">
        <v>412</v>
      </c>
      <c r="E64" s="318"/>
      <c r="F64" s="217">
        <f>SUM(J67:J69)</f>
        <v>3.1084999999999998</v>
      </c>
      <c r="G64" s="330" t="s">
        <v>427</v>
      </c>
      <c r="H64" s="315"/>
      <c r="I64" s="295">
        <f>F64/C64</f>
        <v>3.1084999999999998</v>
      </c>
      <c r="J64" s="296"/>
    </row>
    <row r="65" spans="1:12" ht="13.2" customHeight="1" x14ac:dyDescent="0.25">
      <c r="A65" s="259"/>
      <c r="B65" s="259"/>
      <c r="C65" s="259"/>
      <c r="D65" s="259"/>
      <c r="E65" s="259"/>
      <c r="F65" s="259"/>
      <c r="G65" s="259"/>
      <c r="H65" s="259"/>
      <c r="I65" s="259"/>
      <c r="J65" s="259"/>
    </row>
    <row r="66" spans="1:12" ht="13.8" customHeight="1" x14ac:dyDescent="0.3">
      <c r="A66" s="218" t="s">
        <v>414</v>
      </c>
      <c r="B66" s="219" t="s">
        <v>415</v>
      </c>
      <c r="C66" s="219" t="s">
        <v>416</v>
      </c>
      <c r="D66" s="219" t="s">
        <v>417</v>
      </c>
      <c r="E66" s="219" t="s">
        <v>418</v>
      </c>
      <c r="F66" s="219" t="s">
        <v>419</v>
      </c>
      <c r="G66" s="219" t="s">
        <v>420</v>
      </c>
      <c r="H66" s="219" t="s">
        <v>421</v>
      </c>
      <c r="I66" s="219" t="s">
        <v>422</v>
      </c>
      <c r="J66" s="220" t="s">
        <v>423</v>
      </c>
    </row>
    <row r="67" spans="1:12" ht="13.8" customHeight="1" x14ac:dyDescent="0.3">
      <c r="A67" s="221" t="s">
        <v>268</v>
      </c>
      <c r="B67" s="265">
        <v>2.5000000000000001E-2</v>
      </c>
      <c r="C67" s="294">
        <f>IF(ISNA(VLOOKUP(A67,'Listado de Artículos'!$B$16:$F$1328,5,0)),0,(VLOOKUP(A67,'Listado de Artículos'!$B$16:$F$1328,5,0)))</f>
        <v>7.6</v>
      </c>
      <c r="D67" s="265">
        <v>1</v>
      </c>
      <c r="E67" s="265">
        <v>1</v>
      </c>
      <c r="F67" s="264">
        <f>IF(D67&gt;0,(E67/D67),"")</f>
        <v>1</v>
      </c>
      <c r="G67" s="264">
        <f>IF(D67&gt;0,(100%-F67),"")</f>
        <v>0</v>
      </c>
      <c r="H67" s="265">
        <f>IF(B67&gt;0,(G67*B67/F67),"")</f>
        <v>0</v>
      </c>
      <c r="I67" s="265">
        <f>IF(B67&gt;0,(B67+H67),"")</f>
        <v>2.5000000000000001E-2</v>
      </c>
      <c r="J67" s="211">
        <f>IF(C67&gt;0,(C67*I67),"")</f>
        <v>0.19</v>
      </c>
    </row>
    <row r="68" spans="1:12" ht="13.8" customHeight="1" x14ac:dyDescent="0.3">
      <c r="A68" s="221" t="s">
        <v>270</v>
      </c>
      <c r="B68" s="265">
        <v>1</v>
      </c>
      <c r="C68" s="294">
        <f>IF(ISNA(VLOOKUP(A68,'Listado de Artículos'!$B$16:$F$1328,5,0)),0,(VLOOKUP(A68,'Listado de Artículos'!$B$16:$F$1328,5,0)))</f>
        <v>2.9</v>
      </c>
      <c r="D68" s="265">
        <v>1</v>
      </c>
      <c r="E68" s="265">
        <v>1</v>
      </c>
      <c r="F68" s="264">
        <f>IF(D68&gt;0,(E68/D68),"")</f>
        <v>1</v>
      </c>
      <c r="G68" s="264">
        <f>IF(D68&gt;0,(100%-F68),"")</f>
        <v>0</v>
      </c>
      <c r="H68" s="265">
        <f>IF(B68&gt;0,(G68*B68/F68),"")</f>
        <v>0</v>
      </c>
      <c r="I68" s="265">
        <f>IF(B68&gt;0,(B68+H68),"")</f>
        <v>1</v>
      </c>
      <c r="J68" s="211">
        <f>IF(C68&gt;0,(C68*I68),"")</f>
        <v>2.9</v>
      </c>
    </row>
    <row r="69" spans="1:12" ht="13.8" customHeight="1" x14ac:dyDescent="0.3">
      <c r="A69" s="221" t="s">
        <v>349</v>
      </c>
      <c r="B69" s="265">
        <v>0.01</v>
      </c>
      <c r="C69" s="294">
        <f>IF(ISNA(VLOOKUP(A69,'Listado de Artículos'!$B$16:$F$1328,5,0)),0,(VLOOKUP(A69,'Listado de Artículos'!$B$16:$F$1328,5,0)))</f>
        <v>1.85</v>
      </c>
      <c r="D69" s="265">
        <v>1</v>
      </c>
      <c r="E69" s="265">
        <v>1</v>
      </c>
      <c r="F69" s="264">
        <f>IF(D69&gt;0,(E69/D69),"")</f>
        <v>1</v>
      </c>
      <c r="G69" s="264">
        <f>IF(D69&gt;0,(100%-F69),"")</f>
        <v>0</v>
      </c>
      <c r="H69" s="265">
        <f>IF(B69&gt;0,(G69*B69/F69),"")</f>
        <v>0</v>
      </c>
      <c r="I69" s="265">
        <f>IF(B69&gt;0,(B69+H69),"")</f>
        <v>0.01</v>
      </c>
      <c r="J69" s="211">
        <f>IF(C69&gt;0,(C69*I69),"")</f>
        <v>1.8500000000000003E-2</v>
      </c>
      <c r="L69" s="225">
        <f>1300/58</f>
        <v>22.413793103448278</v>
      </c>
    </row>
    <row r="70" spans="1:12" ht="13.2" customHeight="1" x14ac:dyDescent="0.25">
      <c r="A70" s="222"/>
      <c r="B70" s="222"/>
      <c r="C70" s="222"/>
      <c r="D70" s="222"/>
      <c r="E70" s="222"/>
      <c r="F70" s="222"/>
      <c r="G70" s="222"/>
      <c r="H70" s="222"/>
      <c r="I70" s="222"/>
      <c r="J70" s="222"/>
    </row>
    <row r="71" spans="1:12" ht="13.2" customHeight="1" x14ac:dyDescent="0.25">
      <c r="L71" s="225">
        <f>1.22*4</f>
        <v>4.88</v>
      </c>
    </row>
    <row r="73" spans="1:12" ht="15.6" customHeight="1" x14ac:dyDescent="0.3">
      <c r="A73" s="259"/>
      <c r="B73" s="213" t="s">
        <v>407</v>
      </c>
      <c r="C73" s="332" t="s">
        <v>375</v>
      </c>
      <c r="D73" s="310"/>
      <c r="E73" s="310"/>
      <c r="F73" s="310"/>
      <c r="G73" s="310"/>
      <c r="H73" s="310"/>
      <c r="I73" s="310"/>
      <c r="J73" s="310"/>
    </row>
    <row r="74" spans="1:12" ht="15.6" customHeight="1" x14ac:dyDescent="0.3">
      <c r="A74" s="212"/>
      <c r="B74" s="214" t="s">
        <v>409</v>
      </c>
      <c r="C74" s="335" t="s">
        <v>425</v>
      </c>
      <c r="D74" s="312"/>
      <c r="E74" s="312"/>
      <c r="F74" s="313"/>
      <c r="G74" s="333" t="s">
        <v>426</v>
      </c>
      <c r="H74" s="315"/>
      <c r="I74" s="336"/>
      <c r="J74" s="308"/>
    </row>
    <row r="75" spans="1:12" ht="15.6" customHeight="1" x14ac:dyDescent="0.3">
      <c r="A75" s="259"/>
      <c r="B75" s="215" t="s">
        <v>411</v>
      </c>
      <c r="C75" s="216">
        <v>58</v>
      </c>
      <c r="D75" s="331" t="s">
        <v>412</v>
      </c>
      <c r="E75" s="318"/>
      <c r="F75" s="217">
        <f>SUM(J78:J82)</f>
        <v>9.1340000000000003</v>
      </c>
      <c r="G75" s="330" t="s">
        <v>427</v>
      </c>
      <c r="H75" s="315"/>
      <c r="I75" s="295">
        <f>F75/C75</f>
        <v>0.15748275862068967</v>
      </c>
      <c r="J75" s="296"/>
    </row>
    <row r="76" spans="1:12" ht="13.2" customHeight="1" x14ac:dyDescent="0.25">
      <c r="A76" s="259"/>
      <c r="B76" s="259"/>
      <c r="C76" s="259"/>
      <c r="D76" s="259"/>
      <c r="E76" s="259"/>
      <c r="F76" s="259"/>
      <c r="G76" s="259"/>
      <c r="H76" s="259"/>
      <c r="I76" s="259"/>
      <c r="J76" s="259"/>
    </row>
    <row r="77" spans="1:12" ht="13.8" customHeight="1" x14ac:dyDescent="0.3">
      <c r="A77" s="218" t="s">
        <v>414</v>
      </c>
      <c r="B77" s="219" t="s">
        <v>415</v>
      </c>
      <c r="C77" s="219" t="s">
        <v>416</v>
      </c>
      <c r="D77" s="219" t="s">
        <v>417</v>
      </c>
      <c r="E77" s="219" t="s">
        <v>418</v>
      </c>
      <c r="F77" s="219" t="s">
        <v>419</v>
      </c>
      <c r="G77" s="219" t="s">
        <v>420</v>
      </c>
      <c r="H77" s="219" t="s">
        <v>421</v>
      </c>
      <c r="I77" s="219" t="s">
        <v>422</v>
      </c>
      <c r="J77" s="220" t="s">
        <v>423</v>
      </c>
    </row>
    <row r="78" spans="1:12" ht="13.8" customHeight="1" x14ac:dyDescent="0.3">
      <c r="A78" s="221" t="s">
        <v>305</v>
      </c>
      <c r="B78" s="265">
        <v>0.4</v>
      </c>
      <c r="C78" s="294">
        <f>IF(ISNA(VLOOKUP(A78,'Listado de Artículos'!$B$16:$F$1328,5,0)),0,(VLOOKUP(A78,'Listado de Artículos'!$B$16:$F$1328,5,0)))</f>
        <v>0.03</v>
      </c>
      <c r="D78" s="265">
        <v>1</v>
      </c>
      <c r="E78" s="265">
        <v>1</v>
      </c>
      <c r="F78" s="264">
        <f>IF(D78&gt;0,(E78/D78),"")</f>
        <v>1</v>
      </c>
      <c r="G78" s="264">
        <f>IF(D78&gt;0,(100%-F78),"")</f>
        <v>0</v>
      </c>
      <c r="H78" s="265">
        <f>IF(B78&gt;0,(G78*B78/F78),"")</f>
        <v>0</v>
      </c>
      <c r="I78" s="265">
        <f>IF(B78&gt;0,(B78+H78),"")</f>
        <v>0.4</v>
      </c>
      <c r="J78" s="211">
        <f>IF(C78&gt;0,(C78*I78),"")</f>
        <v>1.2E-2</v>
      </c>
    </row>
    <row r="79" spans="1:12" ht="13.8" customHeight="1" x14ac:dyDescent="0.3">
      <c r="A79" s="221" t="s">
        <v>307</v>
      </c>
      <c r="B79" s="265">
        <v>0.7</v>
      </c>
      <c r="C79" s="294">
        <f>IF(ISNA(VLOOKUP(A79,'Listado de Artículos'!$B$16:$F$1328,5,0)),0,(VLOOKUP(A79,'Listado de Artículos'!$B$16:$F$1328,5,0)))</f>
        <v>0.01</v>
      </c>
      <c r="D79" s="265">
        <v>1</v>
      </c>
      <c r="E79" s="265">
        <v>1</v>
      </c>
      <c r="F79" s="264">
        <f>IF(D79&gt;0,(E79/D79),"")</f>
        <v>1</v>
      </c>
      <c r="G79" s="264">
        <f>IF(D79&gt;0,(100%-F79),"")</f>
        <v>0</v>
      </c>
      <c r="H79" s="265">
        <f>IF(B79&gt;0,(G79*B79/F79),"")</f>
        <v>0</v>
      </c>
      <c r="I79" s="265">
        <f>IF(B79&gt;0,(B79+H79),"")</f>
        <v>0.7</v>
      </c>
      <c r="J79" s="211">
        <f>IF(C79&gt;0,(C79*I79),"")</f>
        <v>6.9999999999999993E-3</v>
      </c>
    </row>
    <row r="80" spans="1:12" ht="13.8" customHeight="1" x14ac:dyDescent="0.3">
      <c r="A80" s="221" t="s">
        <v>306</v>
      </c>
      <c r="B80" s="265">
        <v>0.2</v>
      </c>
      <c r="C80" s="294">
        <f>IF(ISNA(VLOOKUP(A80,'Listado de Artículos'!$B$16:$F$1328,5,0)),0,(VLOOKUP(A80,'Listado de Artículos'!$B$16:$F$1328,5,0)))</f>
        <v>2.95</v>
      </c>
      <c r="D80" s="265">
        <v>1</v>
      </c>
      <c r="E80" s="265">
        <v>1</v>
      </c>
      <c r="F80" s="264">
        <f>IF(D80&gt;0,(E80/D80),"")</f>
        <v>1</v>
      </c>
      <c r="G80" s="264">
        <f>IF(D80&gt;0,(100%-F80),"")</f>
        <v>0</v>
      </c>
      <c r="H80" s="265">
        <f>IF(B80&gt;0,(G80*B80/F80),"")</f>
        <v>0</v>
      </c>
      <c r="I80" s="265">
        <f>IF(B80&gt;0,(B80+H80),"")</f>
        <v>0.2</v>
      </c>
      <c r="J80" s="211">
        <f>IF(C80&gt;0,(C80*I80),"")</f>
        <v>0.59000000000000008</v>
      </c>
    </row>
    <row r="81" spans="1:10" ht="13.8" customHeight="1" x14ac:dyDescent="0.3">
      <c r="A81" s="221" t="s">
        <v>269</v>
      </c>
      <c r="B81" s="265">
        <v>0.5</v>
      </c>
      <c r="C81" s="294">
        <f>IF(ISNA(VLOOKUP(A81,'Listado de Artículos'!$B$16:$F$1328,5,0)),0,(VLOOKUP(A81,'Listado de Artículos'!$B$16:$F$1328,5,0)))</f>
        <v>17.05</v>
      </c>
      <c r="D81" s="265">
        <v>1</v>
      </c>
      <c r="E81" s="265">
        <v>1</v>
      </c>
      <c r="F81" s="264">
        <f>IF(D81&gt;0,(E81/D81),"")</f>
        <v>1</v>
      </c>
      <c r="G81" s="264">
        <f>IF(D81&gt;0,(100%-F81),"")</f>
        <v>0</v>
      </c>
      <c r="H81" s="265">
        <f>IF(B81&gt;0,(G81*B81/F81),"")</f>
        <v>0</v>
      </c>
      <c r="I81" s="265">
        <f>IF(B81&gt;0,(B81+H81),"")</f>
        <v>0.5</v>
      </c>
      <c r="J81" s="211">
        <f>IF(C81&gt;0,(C81*I81),"")</f>
        <v>8.5250000000000004</v>
      </c>
    </row>
    <row r="82" spans="1:10" ht="13.8" customHeight="1" x14ac:dyDescent="0.3">
      <c r="A82" s="221" t="s">
        <v>1</v>
      </c>
      <c r="B82" s="265">
        <v>0.14000000000000001</v>
      </c>
      <c r="C82" s="294">
        <f>IF(ISNA(VLOOKUP(A82,'Listado de Artículos'!$B$16:$F$1328,5,0)),0,(VLOOKUP(A82,'Listado de Artículos'!$B$16:$F$1328,5,0)))</f>
        <v>0</v>
      </c>
      <c r="D82" s="265">
        <v>1</v>
      </c>
      <c r="E82" s="265">
        <v>1</v>
      </c>
      <c r="F82" s="264">
        <f>IF(D82&gt;0,(E82/D82),"")</f>
        <v>1</v>
      </c>
      <c r="G82" s="264">
        <f>IF(D82&gt;0,(100%-F82),"")</f>
        <v>0</v>
      </c>
      <c r="H82" s="265">
        <f>IF(B82&gt;0,(G82*B82/F82),"")</f>
        <v>0</v>
      </c>
      <c r="I82" s="265">
        <f>IF(B82&gt;0,(B82+H82),"")</f>
        <v>0.14000000000000001</v>
      </c>
      <c r="J82" s="211" t="str">
        <f>IF(C82&gt;0,(C82*I82),"")</f>
        <v/>
      </c>
    </row>
    <row r="83" spans="1:10" ht="13.2" customHeight="1" x14ac:dyDescent="0.25">
      <c r="A83" s="222"/>
      <c r="B83" s="222"/>
      <c r="C83" s="222"/>
      <c r="D83" s="222"/>
      <c r="E83" s="222"/>
      <c r="F83" s="222"/>
      <c r="G83" s="222"/>
      <c r="H83" s="222"/>
      <c r="I83" s="222"/>
      <c r="J83" s="222"/>
    </row>
    <row r="86" spans="1:10" ht="15.6" customHeight="1" x14ac:dyDescent="0.3">
      <c r="A86" s="259"/>
      <c r="B86" s="213" t="s">
        <v>407</v>
      </c>
      <c r="C86" s="332" t="s">
        <v>376</v>
      </c>
      <c r="D86" s="310"/>
      <c r="E86" s="310"/>
      <c r="F86" s="310"/>
      <c r="G86" s="310"/>
      <c r="H86" s="310"/>
      <c r="I86" s="310"/>
      <c r="J86" s="310"/>
    </row>
    <row r="87" spans="1:10" ht="15.6" customHeight="1" x14ac:dyDescent="0.3">
      <c r="A87" s="212"/>
      <c r="B87" s="214" t="s">
        <v>409</v>
      </c>
      <c r="C87" s="335" t="s">
        <v>425</v>
      </c>
      <c r="D87" s="312"/>
      <c r="E87" s="312"/>
      <c r="F87" s="313"/>
      <c r="G87" s="333" t="s">
        <v>426</v>
      </c>
      <c r="H87" s="315"/>
      <c r="I87" s="336"/>
      <c r="J87" s="308"/>
    </row>
    <row r="88" spans="1:10" ht="15.6" customHeight="1" x14ac:dyDescent="0.3">
      <c r="A88" s="259"/>
      <c r="B88" s="215" t="s">
        <v>411</v>
      </c>
      <c r="C88" s="216">
        <v>58</v>
      </c>
      <c r="D88" s="331" t="s">
        <v>412</v>
      </c>
      <c r="E88" s="318"/>
      <c r="F88" s="217">
        <f>SUM(J91:J96)</f>
        <v>43.856000000000002</v>
      </c>
      <c r="G88" s="330" t="s">
        <v>427</v>
      </c>
      <c r="H88" s="315"/>
      <c r="I88" s="295">
        <f>F88/C88</f>
        <v>0.75613793103448279</v>
      </c>
      <c r="J88" s="296"/>
    </row>
    <row r="89" spans="1:10" ht="13.2" customHeight="1" x14ac:dyDescent="0.25">
      <c r="A89" s="259"/>
      <c r="B89" s="259"/>
      <c r="C89" s="259"/>
      <c r="D89" s="259"/>
      <c r="E89" s="259"/>
      <c r="F89" s="259"/>
      <c r="G89" s="259"/>
      <c r="H89" s="259"/>
      <c r="I89" s="259"/>
      <c r="J89" s="259"/>
    </row>
    <row r="90" spans="1:10" ht="13.8" customHeight="1" x14ac:dyDescent="0.3">
      <c r="A90" s="218" t="s">
        <v>414</v>
      </c>
      <c r="B90" s="219" t="s">
        <v>415</v>
      </c>
      <c r="C90" s="219" t="s">
        <v>416</v>
      </c>
      <c r="D90" s="219" t="s">
        <v>417</v>
      </c>
      <c r="E90" s="219" t="s">
        <v>418</v>
      </c>
      <c r="F90" s="219" t="s">
        <v>419</v>
      </c>
      <c r="G90" s="219" t="s">
        <v>420</v>
      </c>
      <c r="H90" s="219" t="s">
        <v>421</v>
      </c>
      <c r="I90" s="219" t="s">
        <v>422</v>
      </c>
      <c r="J90" s="220" t="s">
        <v>423</v>
      </c>
    </row>
    <row r="91" spans="1:10" ht="13.8" customHeight="1" x14ac:dyDescent="0.3">
      <c r="A91" s="221" t="s">
        <v>367</v>
      </c>
      <c r="B91" s="265">
        <v>3</v>
      </c>
      <c r="C91" s="294">
        <f>IF(ISNA(VLOOKUP(A91,'Listado de Artículos'!$B$16:$F$1328,5,0)),0,(VLOOKUP(A91,'Listado de Artículos'!$B$16:$F$1328,5,0)))</f>
        <v>10.5</v>
      </c>
      <c r="D91" s="265">
        <v>1</v>
      </c>
      <c r="E91" s="265">
        <v>1</v>
      </c>
      <c r="F91" s="264">
        <f t="shared" ref="F91:F96" si="10">IF(D91&gt;0,(E91/D91),"")</f>
        <v>1</v>
      </c>
      <c r="G91" s="264">
        <f t="shared" ref="G91:G96" si="11">IF(D91&gt;0,(100%-F91),"")</f>
        <v>0</v>
      </c>
      <c r="H91" s="265">
        <f t="shared" ref="H91:H96" si="12">IF(B91&gt;0,(G91*B91/F91),"")</f>
        <v>0</v>
      </c>
      <c r="I91" s="265">
        <f t="shared" ref="I91:I96" si="13">IF(B91&gt;0,(B91+H91),"")</f>
        <v>3</v>
      </c>
      <c r="J91" s="211">
        <f t="shared" ref="J91:J96" si="14">IF(C91&gt;0,(C91*I91),"")</f>
        <v>31.5</v>
      </c>
    </row>
    <row r="92" spans="1:10" ht="13.8" customHeight="1" x14ac:dyDescent="0.3">
      <c r="A92" s="221" t="s">
        <v>368</v>
      </c>
      <c r="B92" s="265">
        <v>1</v>
      </c>
      <c r="C92" s="294">
        <f>IF(ISNA(VLOOKUP(A92,'Listado de Artículos'!$B$16:$F$1328,5,0)),0,(VLOOKUP(A92,'Listado de Artículos'!$B$16:$F$1328,5,0)))</f>
        <v>6.35</v>
      </c>
      <c r="D92" s="265">
        <v>1</v>
      </c>
      <c r="E92" s="265">
        <v>1</v>
      </c>
      <c r="F92" s="264">
        <f t="shared" si="10"/>
        <v>1</v>
      </c>
      <c r="G92" s="264">
        <f t="shared" si="11"/>
        <v>0</v>
      </c>
      <c r="H92" s="265">
        <f t="shared" si="12"/>
        <v>0</v>
      </c>
      <c r="I92" s="265">
        <f t="shared" si="13"/>
        <v>1</v>
      </c>
      <c r="J92" s="211">
        <f t="shared" si="14"/>
        <v>6.35</v>
      </c>
    </row>
    <row r="93" spans="1:10" ht="13.8" customHeight="1" x14ac:dyDescent="0.3">
      <c r="A93" s="221" t="s">
        <v>212</v>
      </c>
      <c r="B93" s="265">
        <v>0.5</v>
      </c>
      <c r="C93" s="294">
        <f>IF(ISNA(VLOOKUP(A93,'Listado de Artículos'!$B$16:$F$1328,5,0)),0,(VLOOKUP(A93,'Listado de Artículos'!$B$16:$F$1328,5,0)))</f>
        <v>2.19</v>
      </c>
      <c r="D93" s="265">
        <v>1</v>
      </c>
      <c r="E93" s="265">
        <v>1</v>
      </c>
      <c r="F93" s="264">
        <f t="shared" si="10"/>
        <v>1</v>
      </c>
      <c r="G93" s="264">
        <f t="shared" si="11"/>
        <v>0</v>
      </c>
      <c r="H93" s="265">
        <f t="shared" si="12"/>
        <v>0</v>
      </c>
      <c r="I93" s="265">
        <f t="shared" si="13"/>
        <v>0.5</v>
      </c>
      <c r="J93" s="211">
        <f t="shared" si="14"/>
        <v>1.095</v>
      </c>
    </row>
    <row r="94" spans="1:10" ht="13.8" customHeight="1" x14ac:dyDescent="0.3">
      <c r="A94" s="221" t="s">
        <v>51</v>
      </c>
      <c r="B94" s="265">
        <v>0.5</v>
      </c>
      <c r="C94" s="294">
        <f>IF(ISNA(VLOOKUP(A94,'Listado de Artículos'!$B$16:$F$1328,5,0)),0,(VLOOKUP(A94,'Listado de Artículos'!$B$16:$F$1328,5,0)))</f>
        <v>5.65</v>
      </c>
      <c r="D94" s="265">
        <v>1</v>
      </c>
      <c r="E94" s="265">
        <v>1</v>
      </c>
      <c r="F94" s="264">
        <f t="shared" si="10"/>
        <v>1</v>
      </c>
      <c r="G94" s="264">
        <f t="shared" si="11"/>
        <v>0</v>
      </c>
      <c r="H94" s="265">
        <f t="shared" si="12"/>
        <v>0</v>
      </c>
      <c r="I94" s="265">
        <f t="shared" si="13"/>
        <v>0.5</v>
      </c>
      <c r="J94" s="211">
        <f t="shared" si="14"/>
        <v>2.8250000000000002</v>
      </c>
    </row>
    <row r="95" spans="1:10" ht="13.8" customHeight="1" x14ac:dyDescent="0.3">
      <c r="A95" s="221" t="s">
        <v>240</v>
      </c>
      <c r="B95" s="265">
        <v>0.1</v>
      </c>
      <c r="C95" s="294">
        <f>IF(ISNA(VLOOKUP(A95,'Listado de Artículos'!$B$16:$F$1328,5,0)),0,(VLOOKUP(A95,'Listado de Artículos'!$B$16:$F$1328,5,0)))</f>
        <v>16.72</v>
      </c>
      <c r="D95" s="265">
        <v>1</v>
      </c>
      <c r="E95" s="265">
        <v>1</v>
      </c>
      <c r="F95" s="264">
        <f t="shared" si="10"/>
        <v>1</v>
      </c>
      <c r="G95" s="264">
        <f t="shared" si="11"/>
        <v>0</v>
      </c>
      <c r="H95" s="265">
        <f t="shared" si="12"/>
        <v>0</v>
      </c>
      <c r="I95" s="265">
        <f t="shared" si="13"/>
        <v>0.1</v>
      </c>
      <c r="J95" s="211">
        <f t="shared" si="14"/>
        <v>1.6719999999999999</v>
      </c>
    </row>
    <row r="96" spans="1:10" ht="13.8" customHeight="1" x14ac:dyDescent="0.3">
      <c r="A96" s="221" t="s">
        <v>231</v>
      </c>
      <c r="B96" s="265">
        <v>0.3</v>
      </c>
      <c r="C96" s="294">
        <f>IF(ISNA(VLOOKUP(A96,'Listado de Artículos'!$B$16:$F$1328,5,0)),0,(VLOOKUP(A96,'Listado de Artículos'!$B$16:$F$1328,5,0)))</f>
        <v>1.38</v>
      </c>
      <c r="D96" s="265">
        <v>1</v>
      </c>
      <c r="E96" s="265">
        <v>1</v>
      </c>
      <c r="F96" s="264">
        <f t="shared" si="10"/>
        <v>1</v>
      </c>
      <c r="G96" s="264">
        <f t="shared" si="11"/>
        <v>0</v>
      </c>
      <c r="H96" s="265">
        <f t="shared" si="12"/>
        <v>0</v>
      </c>
      <c r="I96" s="265">
        <f t="shared" si="13"/>
        <v>0.3</v>
      </c>
      <c r="J96" s="211">
        <f t="shared" si="14"/>
        <v>0.41399999999999998</v>
      </c>
    </row>
    <row r="97" spans="1:10" ht="13.2" customHeight="1" x14ac:dyDescent="0.25">
      <c r="A97" s="222"/>
      <c r="B97" s="222"/>
      <c r="C97" s="222"/>
      <c r="D97" s="222"/>
      <c r="E97" s="222"/>
      <c r="F97" s="222"/>
      <c r="G97" s="222"/>
      <c r="H97" s="222"/>
      <c r="I97" s="222"/>
      <c r="J97" s="222"/>
    </row>
    <row r="100" spans="1:10" ht="15.6" customHeight="1" x14ac:dyDescent="0.3">
      <c r="A100" s="259"/>
      <c r="B100" s="213" t="s">
        <v>407</v>
      </c>
      <c r="C100" s="332" t="s">
        <v>480</v>
      </c>
      <c r="D100" s="310"/>
      <c r="E100" s="310"/>
      <c r="F100" s="310"/>
      <c r="G100" s="310"/>
      <c r="H100" s="310"/>
      <c r="I100" s="310"/>
      <c r="J100" s="310"/>
    </row>
    <row r="101" spans="1:10" ht="15.6" customHeight="1" x14ac:dyDescent="0.3">
      <c r="A101" s="212"/>
      <c r="B101" s="214" t="s">
        <v>409</v>
      </c>
      <c r="C101" s="335" t="s">
        <v>425</v>
      </c>
      <c r="D101" s="312"/>
      <c r="E101" s="312"/>
      <c r="F101" s="313"/>
      <c r="G101" s="333" t="s">
        <v>426</v>
      </c>
      <c r="H101" s="315"/>
      <c r="I101" s="336"/>
      <c r="J101" s="308"/>
    </row>
    <row r="102" spans="1:10" ht="15.6" customHeight="1" x14ac:dyDescent="0.3">
      <c r="A102" s="259"/>
      <c r="B102" s="215" t="s">
        <v>411</v>
      </c>
      <c r="C102" s="216">
        <v>58</v>
      </c>
      <c r="D102" s="331" t="s">
        <v>412</v>
      </c>
      <c r="E102" s="318"/>
      <c r="F102" s="217">
        <f>SUM(J105:J113)</f>
        <v>101.8475</v>
      </c>
      <c r="G102" s="330" t="s">
        <v>427</v>
      </c>
      <c r="H102" s="315"/>
      <c r="I102" s="295">
        <f>F102/C102</f>
        <v>1.7559913793103448</v>
      </c>
      <c r="J102" s="296"/>
    </row>
    <row r="103" spans="1:10" ht="13.2" customHeight="1" x14ac:dyDescent="0.25">
      <c r="A103" s="259"/>
      <c r="B103" s="259"/>
      <c r="C103" s="259"/>
      <c r="D103" s="259"/>
      <c r="E103" s="259"/>
      <c r="F103" s="259"/>
      <c r="G103" s="259"/>
      <c r="H103" s="259"/>
      <c r="I103" s="259"/>
      <c r="J103" s="259"/>
    </row>
    <row r="104" spans="1:10" ht="13.8" customHeight="1" x14ac:dyDescent="0.3">
      <c r="A104" s="218" t="s">
        <v>414</v>
      </c>
      <c r="B104" s="219" t="s">
        <v>415</v>
      </c>
      <c r="C104" s="219" t="s">
        <v>416</v>
      </c>
      <c r="D104" s="219" t="s">
        <v>417</v>
      </c>
      <c r="E104" s="219" t="s">
        <v>418</v>
      </c>
      <c r="F104" s="219" t="s">
        <v>419</v>
      </c>
      <c r="G104" s="219" t="s">
        <v>420</v>
      </c>
      <c r="H104" s="219" t="s">
        <v>421</v>
      </c>
      <c r="I104" s="219" t="s">
        <v>422</v>
      </c>
      <c r="J104" s="220" t="s">
        <v>423</v>
      </c>
    </row>
    <row r="105" spans="1:10" ht="13.8" customHeight="1" x14ac:dyDescent="0.3">
      <c r="A105" s="221" t="s">
        <v>348</v>
      </c>
      <c r="B105" s="265">
        <v>15</v>
      </c>
      <c r="C105" s="294">
        <f>IF(ISNA(VLOOKUP(A105,'Listado de Artículos'!$B$16:$F$1328,5,0)),0,(VLOOKUP(A105,'Listado de Artículos'!$B$16:$F$1328,5,0)))</f>
        <v>1.5</v>
      </c>
      <c r="D105" s="265">
        <v>1</v>
      </c>
      <c r="E105" s="265">
        <v>1</v>
      </c>
      <c r="F105" s="264">
        <f t="shared" ref="F105:F113" si="15">IF(D105&gt;0,(E105/D105),"")</f>
        <v>1</v>
      </c>
      <c r="G105" s="264">
        <f t="shared" ref="G105:G113" si="16">IF(D105&gt;0,(100%-F105),"")</f>
        <v>0</v>
      </c>
      <c r="H105" s="265">
        <f t="shared" ref="H105:H113" si="17">IF(B105&gt;0,(G105*B105/F105),"")</f>
        <v>0</v>
      </c>
      <c r="I105" s="265">
        <f t="shared" ref="I105:I113" si="18">IF(B105&gt;0,(B105+H105),"")</f>
        <v>15</v>
      </c>
      <c r="J105" s="211">
        <f t="shared" ref="J105:J113" si="19">IF(C105&gt;0,(C105*I105),"")</f>
        <v>22.5</v>
      </c>
    </row>
    <row r="106" spans="1:10" ht="13.8" customHeight="1" x14ac:dyDescent="0.3">
      <c r="A106" s="221" t="s">
        <v>59</v>
      </c>
      <c r="B106" s="265">
        <v>0.2</v>
      </c>
      <c r="C106" s="294">
        <f>IF(ISNA(VLOOKUP(A106,'Listado de Artículos'!$B$16:$F$1328,5,0)),0,(VLOOKUP(A106,'Listado de Artículos'!$B$16:$F$1328,5,0)))</f>
        <v>28.59</v>
      </c>
      <c r="D106" s="265">
        <v>1</v>
      </c>
      <c r="E106" s="265">
        <v>1</v>
      </c>
      <c r="F106" s="264">
        <f t="shared" si="15"/>
        <v>1</v>
      </c>
      <c r="G106" s="264">
        <f t="shared" si="16"/>
        <v>0</v>
      </c>
      <c r="H106" s="265">
        <f t="shared" si="17"/>
        <v>0</v>
      </c>
      <c r="I106" s="265">
        <f t="shared" si="18"/>
        <v>0.2</v>
      </c>
      <c r="J106" s="211">
        <f t="shared" si="19"/>
        <v>5.718</v>
      </c>
    </row>
    <row r="107" spans="1:10" ht="13.8" customHeight="1" x14ac:dyDescent="0.3">
      <c r="A107" s="221" t="s">
        <v>136</v>
      </c>
      <c r="B107" s="265">
        <v>3</v>
      </c>
      <c r="C107" s="294">
        <f>IF(ISNA(VLOOKUP(A107,'Listado de Artículos'!$B$16:$F$1328,5,0)),0,(VLOOKUP(A107,'Listado de Artículos'!$B$16:$F$1328,5,0)))</f>
        <v>4.5</v>
      </c>
      <c r="D107" s="265">
        <v>1</v>
      </c>
      <c r="E107" s="265">
        <v>1</v>
      </c>
      <c r="F107" s="264">
        <f t="shared" si="15"/>
        <v>1</v>
      </c>
      <c r="G107" s="264">
        <f t="shared" si="16"/>
        <v>0</v>
      </c>
      <c r="H107" s="265">
        <f t="shared" si="17"/>
        <v>0</v>
      </c>
      <c r="I107" s="265">
        <f t="shared" si="18"/>
        <v>3</v>
      </c>
      <c r="J107" s="211">
        <f t="shared" si="19"/>
        <v>13.5</v>
      </c>
    </row>
    <row r="108" spans="1:10" ht="13.8" customHeight="1" x14ac:dyDescent="0.3">
      <c r="A108" s="221" t="s">
        <v>41</v>
      </c>
      <c r="B108" s="265">
        <v>0.35</v>
      </c>
      <c r="C108" s="294">
        <f>IF(ISNA(VLOOKUP(A108,'Listado de Artículos'!$B$16:$F$1328,5,0)),0,(VLOOKUP(A108,'Listado de Artículos'!$B$16:$F$1328,5,0)))</f>
        <v>5.95</v>
      </c>
      <c r="D108" s="265">
        <v>1</v>
      </c>
      <c r="E108" s="265">
        <v>1</v>
      </c>
      <c r="F108" s="264">
        <f t="shared" si="15"/>
        <v>1</v>
      </c>
      <c r="G108" s="264">
        <f t="shared" si="16"/>
        <v>0</v>
      </c>
      <c r="H108" s="265">
        <f t="shared" si="17"/>
        <v>0</v>
      </c>
      <c r="I108" s="265">
        <f t="shared" si="18"/>
        <v>0.35</v>
      </c>
      <c r="J108" s="211">
        <f t="shared" si="19"/>
        <v>2.0825</v>
      </c>
    </row>
    <row r="109" spans="1:10" ht="13.8" customHeight="1" x14ac:dyDescent="0.3">
      <c r="A109" s="221" t="s">
        <v>351</v>
      </c>
      <c r="B109" s="265">
        <v>0.14000000000000001</v>
      </c>
      <c r="C109" s="294">
        <f>IF(ISNA(VLOOKUP(A109,'Listado de Artículos'!$B$16:$F$1328,5,0)),0,(VLOOKUP(A109,'Listado de Artículos'!$B$16:$F$1328,5,0)))</f>
        <v>1.2</v>
      </c>
      <c r="D109" s="265">
        <v>1</v>
      </c>
      <c r="E109" s="265">
        <v>1</v>
      </c>
      <c r="F109" s="264">
        <f t="shared" si="15"/>
        <v>1</v>
      </c>
      <c r="G109" s="264">
        <f t="shared" si="16"/>
        <v>0</v>
      </c>
      <c r="H109" s="265">
        <f t="shared" si="17"/>
        <v>0</v>
      </c>
      <c r="I109" s="265">
        <f t="shared" si="18"/>
        <v>0.14000000000000001</v>
      </c>
      <c r="J109" s="211">
        <f t="shared" si="19"/>
        <v>0.16800000000000001</v>
      </c>
    </row>
    <row r="110" spans="1:10" ht="13.8" customHeight="1" x14ac:dyDescent="0.3">
      <c r="A110" s="221" t="s">
        <v>87</v>
      </c>
      <c r="B110" s="265">
        <v>0.05</v>
      </c>
      <c r="C110" s="294">
        <f>IF(ISNA(VLOOKUP(A110,'Listado de Artículos'!$B$16:$F$1328,5,0)),0,(VLOOKUP(A110,'Listado de Artículos'!$B$16:$F$1328,5,0)))</f>
        <v>0.82</v>
      </c>
      <c r="D110" s="265">
        <v>1</v>
      </c>
      <c r="E110" s="265">
        <v>1</v>
      </c>
      <c r="F110" s="264">
        <f t="shared" si="15"/>
        <v>1</v>
      </c>
      <c r="G110" s="264">
        <f t="shared" si="16"/>
        <v>0</v>
      </c>
      <c r="H110" s="265">
        <f t="shared" si="17"/>
        <v>0</v>
      </c>
      <c r="I110" s="265">
        <f t="shared" si="18"/>
        <v>0.05</v>
      </c>
      <c r="J110" s="211">
        <f t="shared" si="19"/>
        <v>4.1000000000000002E-2</v>
      </c>
    </row>
    <row r="111" spans="1:10" ht="13.8" customHeight="1" x14ac:dyDescent="0.3">
      <c r="A111" s="221" t="s">
        <v>326</v>
      </c>
      <c r="B111" s="265">
        <v>2</v>
      </c>
      <c r="C111" s="294">
        <f>IF(ISNA(VLOOKUP(A111,'Listado de Artículos'!$B$16:$F$1328,5,0)),0,(VLOOKUP(A111,'Listado de Artículos'!$B$16:$F$1328,5,0)))</f>
        <v>1.99</v>
      </c>
      <c r="D111" s="265">
        <v>1</v>
      </c>
      <c r="E111" s="265">
        <v>1</v>
      </c>
      <c r="F111" s="264">
        <f t="shared" si="15"/>
        <v>1</v>
      </c>
      <c r="G111" s="264">
        <f t="shared" si="16"/>
        <v>0</v>
      </c>
      <c r="H111" s="265">
        <f t="shared" si="17"/>
        <v>0</v>
      </c>
      <c r="I111" s="265">
        <f t="shared" si="18"/>
        <v>2</v>
      </c>
      <c r="J111" s="211">
        <f t="shared" si="19"/>
        <v>3.98</v>
      </c>
    </row>
    <row r="112" spans="1:10" ht="13.8" customHeight="1" x14ac:dyDescent="0.3">
      <c r="A112" s="221" t="s">
        <v>285</v>
      </c>
      <c r="B112" s="265">
        <v>0.2</v>
      </c>
      <c r="C112" s="294">
        <f>IF(ISNA(VLOOKUP(A112,'Listado de Artículos'!$B$16:$F$1328,5,0)),0,(VLOOKUP(A112,'Listado de Artículos'!$B$16:$F$1328,5,0)))</f>
        <v>17.29</v>
      </c>
      <c r="D112" s="265">
        <v>1</v>
      </c>
      <c r="E112" s="265">
        <v>1</v>
      </c>
      <c r="F112" s="264">
        <f t="shared" si="15"/>
        <v>1</v>
      </c>
      <c r="G112" s="264">
        <f t="shared" si="16"/>
        <v>0</v>
      </c>
      <c r="H112" s="265">
        <f t="shared" si="17"/>
        <v>0</v>
      </c>
      <c r="I112" s="265">
        <f t="shared" si="18"/>
        <v>0.2</v>
      </c>
      <c r="J112" s="211">
        <f t="shared" si="19"/>
        <v>3.4580000000000002</v>
      </c>
    </row>
    <row r="113" spans="1:10" ht="13.8" customHeight="1" x14ac:dyDescent="0.3">
      <c r="A113" s="221" t="s">
        <v>60</v>
      </c>
      <c r="B113" s="265">
        <v>2</v>
      </c>
      <c r="C113" s="294">
        <f>IF(ISNA(VLOOKUP(A113,'Listado de Artículos'!$B$16:$F$1328,5,0)),0,(VLOOKUP(A113,'Listado de Artículos'!$B$16:$F$1328,5,0)))</f>
        <v>25.2</v>
      </c>
      <c r="D113" s="265">
        <v>1</v>
      </c>
      <c r="E113" s="265">
        <v>1</v>
      </c>
      <c r="F113" s="264">
        <f t="shared" si="15"/>
        <v>1</v>
      </c>
      <c r="G113" s="264">
        <f t="shared" si="16"/>
        <v>0</v>
      </c>
      <c r="H113" s="265">
        <f t="shared" si="17"/>
        <v>0</v>
      </c>
      <c r="I113" s="265">
        <f t="shared" si="18"/>
        <v>2</v>
      </c>
      <c r="J113" s="211">
        <f t="shared" si="19"/>
        <v>50.4</v>
      </c>
    </row>
    <row r="114" spans="1:10" ht="13.2" customHeight="1" x14ac:dyDescent="0.25">
      <c r="A114" s="259"/>
      <c r="B114" s="329"/>
      <c r="C114" s="304"/>
      <c r="D114" s="304"/>
      <c r="E114" s="304"/>
      <c r="F114" s="304"/>
      <c r="G114" s="304"/>
      <c r="H114" s="304"/>
      <c r="I114" s="259"/>
      <c r="J114" s="259"/>
    </row>
    <row r="115" spans="1:10" ht="13.2" customHeight="1" x14ac:dyDescent="0.2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</row>
    <row r="117" spans="1:10" ht="15.6" customHeight="1" x14ac:dyDescent="0.3">
      <c r="A117" s="259"/>
      <c r="B117" s="213" t="s">
        <v>407</v>
      </c>
      <c r="C117" s="332" t="s">
        <v>378</v>
      </c>
      <c r="D117" s="310"/>
      <c r="E117" s="310"/>
      <c r="F117" s="310"/>
      <c r="G117" s="310"/>
      <c r="H117" s="310"/>
      <c r="I117" s="310"/>
      <c r="J117" s="310"/>
    </row>
    <row r="118" spans="1:10" ht="15.6" customHeight="1" x14ac:dyDescent="0.3">
      <c r="A118" s="212"/>
      <c r="B118" s="214" t="s">
        <v>409</v>
      </c>
      <c r="C118" s="335" t="s">
        <v>425</v>
      </c>
      <c r="D118" s="312"/>
      <c r="E118" s="312"/>
      <c r="F118" s="313"/>
      <c r="G118" s="333" t="s">
        <v>426</v>
      </c>
      <c r="H118" s="315"/>
      <c r="I118" s="336"/>
      <c r="J118" s="308"/>
    </row>
    <row r="119" spans="1:10" ht="15.6" customHeight="1" x14ac:dyDescent="0.3">
      <c r="A119" s="259"/>
      <c r="B119" s="215" t="s">
        <v>411</v>
      </c>
      <c r="C119" s="216">
        <v>58</v>
      </c>
      <c r="D119" s="331" t="s">
        <v>412</v>
      </c>
      <c r="E119" s="318"/>
      <c r="F119" s="217">
        <f>SUM(J122:J124)</f>
        <v>22.849999999999998</v>
      </c>
      <c r="G119" s="330" t="s">
        <v>427</v>
      </c>
      <c r="H119" s="315"/>
      <c r="I119" s="295">
        <f>F119/C119</f>
        <v>0.39396551724137929</v>
      </c>
      <c r="J119" s="296"/>
    </row>
    <row r="120" spans="1:10" ht="13.2" customHeight="1" x14ac:dyDescent="0.25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</row>
    <row r="121" spans="1:10" ht="13.8" customHeight="1" x14ac:dyDescent="0.3">
      <c r="A121" s="218" t="s">
        <v>414</v>
      </c>
      <c r="B121" s="219" t="s">
        <v>415</v>
      </c>
      <c r="C121" s="219" t="s">
        <v>416</v>
      </c>
      <c r="D121" s="219" t="s">
        <v>417</v>
      </c>
      <c r="E121" s="219" t="s">
        <v>418</v>
      </c>
      <c r="F121" s="219" t="s">
        <v>419</v>
      </c>
      <c r="G121" s="219" t="s">
        <v>420</v>
      </c>
      <c r="H121" s="219" t="s">
        <v>421</v>
      </c>
      <c r="I121" s="219" t="s">
        <v>422</v>
      </c>
      <c r="J121" s="220" t="s">
        <v>423</v>
      </c>
    </row>
    <row r="122" spans="1:10" ht="13.8" customHeight="1" x14ac:dyDescent="0.3">
      <c r="A122" s="221" t="s">
        <v>130</v>
      </c>
      <c r="B122" s="265">
        <v>6</v>
      </c>
      <c r="C122" s="294">
        <f>IF(ISNA(VLOOKUP(A122,'Listado de Artículos'!$B$16:$F$1328,5,0)),0,(VLOOKUP(A122,'Listado de Artículos'!$B$16:$F$1328,5,0)))</f>
        <v>2.5</v>
      </c>
      <c r="D122" s="265">
        <v>1</v>
      </c>
      <c r="E122" s="265">
        <v>1</v>
      </c>
      <c r="F122" s="264">
        <f>IF(D122&gt;0,(E122/D122),"")</f>
        <v>1</v>
      </c>
      <c r="G122" s="264">
        <f>IF(D122&gt;0,(100%-F122),"")</f>
        <v>0</v>
      </c>
      <c r="H122" s="265">
        <f>IF(B122&gt;0,(G122*B122/F122),"")</f>
        <v>0</v>
      </c>
      <c r="I122" s="265">
        <f>IF(B122&gt;0,(B122+H122),"")</f>
        <v>6</v>
      </c>
      <c r="J122" s="211">
        <f>IF(C122&gt;0,(C122*I122),"")</f>
        <v>15</v>
      </c>
    </row>
    <row r="123" spans="1:10" ht="13.8" customHeight="1" x14ac:dyDescent="0.3">
      <c r="A123" s="221" t="s">
        <v>268</v>
      </c>
      <c r="B123" s="265">
        <v>0.25</v>
      </c>
      <c r="C123" s="294">
        <f>IF(ISNA(VLOOKUP(A123,'Listado de Artículos'!$B$16:$F$1328,5,0)),0,(VLOOKUP(A123,'Listado de Artículos'!$B$16:$F$1328,5,0)))</f>
        <v>7.6</v>
      </c>
      <c r="D123" s="265">
        <v>1</v>
      </c>
      <c r="E123" s="265">
        <v>1</v>
      </c>
      <c r="F123" s="264">
        <f>IF(D123&gt;0,(E123/D123),"")</f>
        <v>1</v>
      </c>
      <c r="G123" s="264">
        <f>IF(D123&gt;0,(100%-F123),"")</f>
        <v>0</v>
      </c>
      <c r="H123" s="265">
        <f>IF(B123&gt;0,(G123*B123/F123),"")</f>
        <v>0</v>
      </c>
      <c r="I123" s="265">
        <f>IF(B123&gt;0,(B123+H123),"")</f>
        <v>0.25</v>
      </c>
      <c r="J123" s="211">
        <f>IF(C123&gt;0,(C123*I123),"")</f>
        <v>1.9</v>
      </c>
    </row>
    <row r="124" spans="1:10" ht="13.8" customHeight="1" x14ac:dyDescent="0.3">
      <c r="A124" s="221" t="s">
        <v>41</v>
      </c>
      <c r="B124" s="265">
        <v>1</v>
      </c>
      <c r="C124" s="294">
        <f>IF(ISNA(VLOOKUP(A124,'Listado de Artículos'!$B$16:$F$1328,5,0)),0,(VLOOKUP(A124,'Listado de Artículos'!$B$16:$F$1328,5,0)))</f>
        <v>5.95</v>
      </c>
      <c r="D124" s="265">
        <v>1</v>
      </c>
      <c r="E124" s="265">
        <v>1</v>
      </c>
      <c r="F124" s="264">
        <f>IF(D124&gt;0,(E124/D124),"")</f>
        <v>1</v>
      </c>
      <c r="G124" s="264">
        <f>IF(D124&gt;0,(100%-F124),"")</f>
        <v>0</v>
      </c>
      <c r="H124" s="265">
        <f>IF(B124&gt;0,(G124*B124/F124),"")</f>
        <v>0</v>
      </c>
      <c r="I124" s="265">
        <f>IF(B124&gt;0,(B124+H124),"")</f>
        <v>1</v>
      </c>
      <c r="J124" s="211">
        <f>IF(C124&gt;0,(C124*I124),"")</f>
        <v>5.95</v>
      </c>
    </row>
    <row r="125" spans="1:10" ht="13.2" customHeight="1" x14ac:dyDescent="0.25">
      <c r="A125" s="259"/>
      <c r="B125" s="329"/>
      <c r="C125" s="304"/>
      <c r="D125" s="304"/>
      <c r="E125" s="304"/>
      <c r="F125" s="304"/>
      <c r="G125" s="304"/>
      <c r="H125" s="304"/>
      <c r="I125" s="259"/>
      <c r="J125" s="259"/>
    </row>
    <row r="126" spans="1:10" ht="13.2" customHeight="1" x14ac:dyDescent="0.25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</row>
    <row r="129" spans="1:10" ht="15.6" customHeight="1" x14ac:dyDescent="0.3">
      <c r="A129" s="259"/>
      <c r="B129" s="213" t="s">
        <v>407</v>
      </c>
      <c r="C129" s="332" t="s">
        <v>481</v>
      </c>
      <c r="D129" s="310"/>
      <c r="E129" s="310"/>
      <c r="F129" s="310"/>
      <c r="G129" s="310"/>
      <c r="H129" s="310"/>
      <c r="I129" s="310"/>
      <c r="J129" s="310"/>
    </row>
    <row r="130" spans="1:10" ht="15.6" customHeight="1" x14ac:dyDescent="0.3">
      <c r="A130" s="212"/>
      <c r="B130" s="214" t="s">
        <v>409</v>
      </c>
      <c r="C130" s="335" t="s">
        <v>425</v>
      </c>
      <c r="D130" s="312"/>
      <c r="E130" s="312"/>
      <c r="F130" s="313"/>
      <c r="G130" s="333" t="s">
        <v>426</v>
      </c>
      <c r="H130" s="315"/>
      <c r="I130" s="336"/>
      <c r="J130" s="308"/>
    </row>
    <row r="131" spans="1:10" ht="15.6" customHeight="1" x14ac:dyDescent="0.3">
      <c r="A131" s="259"/>
      <c r="B131" s="215" t="s">
        <v>411</v>
      </c>
      <c r="C131" s="216">
        <v>58</v>
      </c>
      <c r="D131" s="331" t="s">
        <v>412</v>
      </c>
      <c r="E131" s="318"/>
      <c r="F131" s="217">
        <f>SUM(J134:J138)</f>
        <v>82.804999999999993</v>
      </c>
      <c r="G131" s="330" t="s">
        <v>427</v>
      </c>
      <c r="H131" s="315"/>
      <c r="I131" s="295">
        <f>F131/C131</f>
        <v>1.4276724137931034</v>
      </c>
      <c r="J131" s="296"/>
    </row>
    <row r="132" spans="1:10" ht="13.2" customHeight="1" x14ac:dyDescent="0.25">
      <c r="A132" s="259"/>
      <c r="B132" s="259"/>
      <c r="C132" s="259"/>
      <c r="D132" s="259"/>
      <c r="E132" s="259"/>
      <c r="F132" s="259"/>
      <c r="G132" s="259"/>
      <c r="H132" s="259"/>
      <c r="I132" s="259"/>
      <c r="J132" s="259"/>
    </row>
    <row r="133" spans="1:10" ht="13.8" customHeight="1" x14ac:dyDescent="0.3">
      <c r="A133" s="218" t="s">
        <v>414</v>
      </c>
      <c r="B133" s="219" t="s">
        <v>415</v>
      </c>
      <c r="C133" s="219" t="s">
        <v>416</v>
      </c>
      <c r="D133" s="219" t="s">
        <v>417</v>
      </c>
      <c r="E133" s="219" t="s">
        <v>418</v>
      </c>
      <c r="F133" s="219" t="s">
        <v>419</v>
      </c>
      <c r="G133" s="219" t="s">
        <v>420</v>
      </c>
      <c r="H133" s="219" t="s">
        <v>421</v>
      </c>
      <c r="I133" s="219" t="s">
        <v>422</v>
      </c>
      <c r="J133" s="220" t="s">
        <v>423</v>
      </c>
    </row>
    <row r="134" spans="1:10" ht="13.8" customHeight="1" x14ac:dyDescent="0.3">
      <c r="A134" s="221" t="s">
        <v>336</v>
      </c>
      <c r="B134" s="265">
        <v>8</v>
      </c>
      <c r="C134" s="294">
        <f>IF(ISNA(VLOOKUP(A134,'Listado de Artículos'!$B$16:$F$1328,5,0)),0,(VLOOKUP(A134,'Listado de Artículos'!$B$16:$F$1328,5,0)))</f>
        <v>0.36</v>
      </c>
      <c r="D134" s="265">
        <v>1</v>
      </c>
      <c r="E134" s="265">
        <v>1</v>
      </c>
      <c r="F134" s="264">
        <f>IF(D134&gt;0,(E134/D134),"")</f>
        <v>1</v>
      </c>
      <c r="G134" s="264">
        <f>IF(D134&gt;0,(100%-F134),"")</f>
        <v>0</v>
      </c>
      <c r="H134" s="265">
        <f>IF(B134&gt;0,(G134*B134/F134),"")</f>
        <v>0</v>
      </c>
      <c r="I134" s="265">
        <f>IF(B134&gt;0,(B134+H134),"")</f>
        <v>8</v>
      </c>
      <c r="J134" s="211">
        <f>IF(C134&gt;0,(C134*I134),"")</f>
        <v>2.88</v>
      </c>
    </row>
    <row r="135" spans="1:10" ht="13.8" customHeight="1" x14ac:dyDescent="0.3">
      <c r="A135" s="221" t="s">
        <v>59</v>
      </c>
      <c r="B135" s="265">
        <v>0.5</v>
      </c>
      <c r="C135" s="294">
        <f>IF(ISNA(VLOOKUP(A135,'Listado de Artículos'!$B$16:$F$1328,5,0)),0,(VLOOKUP(A135,'Listado de Artículos'!$B$16:$F$1328,5,0)))</f>
        <v>28.59</v>
      </c>
      <c r="D135" s="265">
        <v>1</v>
      </c>
      <c r="E135" s="265">
        <v>1</v>
      </c>
      <c r="F135" s="264">
        <f>IF(D135&gt;0,(E135/D135),"")</f>
        <v>1</v>
      </c>
      <c r="G135" s="264">
        <f>IF(D135&gt;0,(100%-F135),"")</f>
        <v>0</v>
      </c>
      <c r="H135" s="265">
        <f>IF(B135&gt;0,(G135*B135/F135),"")</f>
        <v>0</v>
      </c>
      <c r="I135" s="265">
        <f>IF(B135&gt;0,(B135+H135),"")</f>
        <v>0.5</v>
      </c>
      <c r="J135" s="211">
        <f>IF(C135&gt;0,(C135*I135),"")</f>
        <v>14.295</v>
      </c>
    </row>
    <row r="136" spans="1:10" ht="13.8" customHeight="1" x14ac:dyDescent="0.3">
      <c r="A136" s="221" t="s">
        <v>280</v>
      </c>
      <c r="B136" s="265">
        <v>15</v>
      </c>
      <c r="C136" s="294">
        <f>IF(ISNA(VLOOKUP(A136,'Listado de Artículos'!$B$16:$F$1328,5,0)),0,(VLOOKUP(A136,'Listado de Artículos'!$B$16:$F$1328,5,0)))</f>
        <v>2</v>
      </c>
      <c r="D136" s="265">
        <v>1</v>
      </c>
      <c r="E136" s="265">
        <v>1</v>
      </c>
      <c r="F136" s="264">
        <f>IF(D136&gt;0,(E136/D136),"")</f>
        <v>1</v>
      </c>
      <c r="G136" s="264">
        <f>IF(D136&gt;0,(100%-F136),"")</f>
        <v>0</v>
      </c>
      <c r="H136" s="265">
        <f>IF(B136&gt;0,(G136*B136/F136),"")</f>
        <v>0</v>
      </c>
      <c r="I136" s="265">
        <f>IF(B136&gt;0,(B136+H136),"")</f>
        <v>15</v>
      </c>
      <c r="J136" s="211">
        <f>IF(C136&gt;0,(C136*I136),"")</f>
        <v>30</v>
      </c>
    </row>
    <row r="137" spans="1:10" ht="13.8" customHeight="1" x14ac:dyDescent="0.3">
      <c r="A137" s="223" t="s">
        <v>369</v>
      </c>
      <c r="B137" s="269">
        <v>1</v>
      </c>
      <c r="C137" s="297">
        <f>IF(ISNA(VLOOKUP(A137,'Listado de Artículos'!$B$16:$F$1328,5,0)),0,(VLOOKUP(A137,'Listado de Artículos'!$B$16:$F$1328,5,0)))</f>
        <v>31.53</v>
      </c>
      <c r="D137" s="269">
        <v>1</v>
      </c>
      <c r="E137" s="269">
        <v>1</v>
      </c>
      <c r="F137" s="268">
        <f>IF(D137&gt;0,(E137/D137),"")</f>
        <v>1</v>
      </c>
      <c r="G137" s="268">
        <f>IF(D137&gt;0,(100%-F137),"")</f>
        <v>0</v>
      </c>
      <c r="H137" s="269">
        <f>IF(B137&gt;0,(G137*B137/F137),"")</f>
        <v>0</v>
      </c>
      <c r="I137" s="269">
        <f>IF(B137&gt;0,(B137+H137),"")</f>
        <v>1</v>
      </c>
      <c r="J137" s="224">
        <f>IF(C137&gt;0,(C137*I137),"")</f>
        <v>31.53</v>
      </c>
    </row>
    <row r="138" spans="1:10" ht="13.8" customHeight="1" x14ac:dyDescent="0.3">
      <c r="A138" s="223" t="s">
        <v>247</v>
      </c>
      <c r="B138" s="269">
        <v>1</v>
      </c>
      <c r="C138" s="297">
        <f>IF(ISNA(VLOOKUP(A138,'Listado de Artículos'!$B$16:$F$1328,5,0)),0,(VLOOKUP(A138,'Listado de Artículos'!$B$16:$F$1328,5,0)))</f>
        <v>4.0999999999999996</v>
      </c>
      <c r="D138" s="269">
        <v>1</v>
      </c>
      <c r="E138" s="269">
        <v>1</v>
      </c>
      <c r="F138" s="268">
        <f>IF(D138&gt;0,(E138/D138),"")</f>
        <v>1</v>
      </c>
      <c r="G138" s="268">
        <f>IF(D138&gt;0,(100%-F138),"")</f>
        <v>0</v>
      </c>
      <c r="H138" s="269">
        <f>IF(B138&gt;0,(G138*B138/F138),"")</f>
        <v>0</v>
      </c>
      <c r="I138" s="269">
        <f>IF(B138&gt;0,(B138+H138),"")</f>
        <v>1</v>
      </c>
      <c r="J138" s="224">
        <f>IF(C138&gt;0,(C138*I138),"")</f>
        <v>4.0999999999999996</v>
      </c>
    </row>
    <row r="139" spans="1:10" ht="13.2" customHeight="1" x14ac:dyDescent="0.25">
      <c r="A139" s="259"/>
      <c r="B139" s="329"/>
      <c r="C139" s="304"/>
      <c r="D139" s="304"/>
      <c r="E139" s="304"/>
      <c r="F139" s="304"/>
      <c r="G139" s="304"/>
      <c r="H139" s="304"/>
      <c r="I139" s="259"/>
      <c r="J139" s="259"/>
    </row>
    <row r="140" spans="1:10" ht="13.2" customHeight="1" x14ac:dyDescent="0.25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</row>
    <row r="142" spans="1:10" ht="15.6" customHeight="1" x14ac:dyDescent="0.3">
      <c r="A142" s="259"/>
      <c r="B142" s="213" t="s">
        <v>407</v>
      </c>
      <c r="C142" s="332" t="s">
        <v>369</v>
      </c>
      <c r="D142" s="310"/>
      <c r="E142" s="310"/>
      <c r="F142" s="310"/>
      <c r="G142" s="310"/>
      <c r="H142" s="310"/>
      <c r="I142" s="310"/>
      <c r="J142" s="310"/>
    </row>
    <row r="143" spans="1:10" ht="15.6" customHeight="1" x14ac:dyDescent="0.3">
      <c r="A143" s="212"/>
      <c r="B143" s="214" t="s">
        <v>409</v>
      </c>
      <c r="C143" s="335" t="s">
        <v>425</v>
      </c>
      <c r="D143" s="312"/>
      <c r="E143" s="312"/>
      <c r="F143" s="313"/>
      <c r="G143" s="333" t="s">
        <v>426</v>
      </c>
      <c r="H143" s="315"/>
      <c r="I143" s="336"/>
      <c r="J143" s="308"/>
    </row>
    <row r="144" spans="1:10" ht="15.6" customHeight="1" x14ac:dyDescent="0.3">
      <c r="A144" s="259"/>
      <c r="B144" s="215" t="s">
        <v>411</v>
      </c>
      <c r="C144" s="216">
        <v>1</v>
      </c>
      <c r="D144" s="331" t="s">
        <v>412</v>
      </c>
      <c r="E144" s="318"/>
      <c r="F144" s="217">
        <f>SUM(J147:J151)</f>
        <v>86.445000000000007</v>
      </c>
      <c r="G144" s="330" t="s">
        <v>427</v>
      </c>
      <c r="H144" s="315"/>
      <c r="I144" s="295">
        <f>F144/C144</f>
        <v>86.445000000000007</v>
      </c>
      <c r="J144" s="296"/>
    </row>
    <row r="145" spans="1:10" ht="13.2" customHeight="1" x14ac:dyDescent="0.25">
      <c r="A145" s="259"/>
      <c r="B145" s="259"/>
      <c r="C145" s="259" t="s">
        <v>482</v>
      </c>
      <c r="D145" s="259"/>
      <c r="E145" s="259"/>
      <c r="F145" s="259"/>
      <c r="G145" s="259"/>
      <c r="H145" s="259"/>
      <c r="I145" s="259"/>
      <c r="J145" s="259"/>
    </row>
    <row r="146" spans="1:10" ht="13.8" customHeight="1" x14ac:dyDescent="0.3">
      <c r="A146" s="218" t="s">
        <v>414</v>
      </c>
      <c r="B146" s="219" t="s">
        <v>415</v>
      </c>
      <c r="C146" s="219" t="s">
        <v>416</v>
      </c>
      <c r="D146" s="219" t="s">
        <v>417</v>
      </c>
      <c r="E146" s="219" t="s">
        <v>418</v>
      </c>
      <c r="F146" s="219" t="s">
        <v>419</v>
      </c>
      <c r="G146" s="219" t="s">
        <v>420</v>
      </c>
      <c r="H146" s="219" t="s">
        <v>421</v>
      </c>
      <c r="I146" s="219" t="s">
        <v>422</v>
      </c>
      <c r="J146" s="220" t="s">
        <v>423</v>
      </c>
    </row>
    <row r="147" spans="1:10" ht="13.8" customHeight="1" x14ac:dyDescent="0.3">
      <c r="A147" s="221" t="s">
        <v>171</v>
      </c>
      <c r="B147" s="265">
        <v>3.4</v>
      </c>
      <c r="C147" s="294">
        <f>IF(ISNA(VLOOKUP(A147,'Listado de Artículos'!$B$16:$F$1328,5,0)),0,(VLOOKUP(A147,'Listado de Artículos'!$B$16:$F$1328,5,0)))</f>
        <v>8</v>
      </c>
      <c r="D147" s="265">
        <v>1</v>
      </c>
      <c r="E147" s="265">
        <v>1</v>
      </c>
      <c r="F147" s="264">
        <f>IF(D147&gt;0,(E147/D147),"")</f>
        <v>1</v>
      </c>
      <c r="G147" s="264">
        <f>IF(D147&gt;0,(100%-F147),"")</f>
        <v>0</v>
      </c>
      <c r="H147" s="265">
        <f>IF(B147&gt;0,(G147*B147/F147),"")</f>
        <v>0</v>
      </c>
      <c r="I147" s="265">
        <f>IF(B147&gt;0,(B147+H147),"")</f>
        <v>3.4</v>
      </c>
      <c r="J147" s="211">
        <f>IF(C147&gt;0,(C147*I147),"")</f>
        <v>27.2</v>
      </c>
    </row>
    <row r="148" spans="1:10" ht="13.8" customHeight="1" x14ac:dyDescent="0.3">
      <c r="A148" s="221" t="s">
        <v>256</v>
      </c>
      <c r="B148" s="265">
        <v>2</v>
      </c>
      <c r="C148" s="294">
        <f>IF(ISNA(VLOOKUP(A148,'Listado de Artículos'!$B$16:$F$1328,5,0)),0,(VLOOKUP(A148,'Listado de Artículos'!$B$16:$F$1328,5,0)))</f>
        <v>21.5</v>
      </c>
      <c r="D148" s="265">
        <v>1</v>
      </c>
      <c r="E148" s="265">
        <v>1</v>
      </c>
      <c r="F148" s="264">
        <f>IF(D148&gt;0,(E148/D148),"")</f>
        <v>1</v>
      </c>
      <c r="G148" s="264">
        <f>IF(D148&gt;0,(100%-F148),"")</f>
        <v>0</v>
      </c>
      <c r="H148" s="265">
        <f>IF(B148&gt;0,(G148*B148/F148),"")</f>
        <v>0</v>
      </c>
      <c r="I148" s="265">
        <f>IF(B148&gt;0,(B148+H148),"")</f>
        <v>2</v>
      </c>
      <c r="J148" s="211">
        <f>IF(C148&gt;0,(C148*I148),"")</f>
        <v>43</v>
      </c>
    </row>
    <row r="149" spans="1:10" ht="13.8" customHeight="1" x14ac:dyDescent="0.3">
      <c r="A149" s="221" t="s">
        <v>136</v>
      </c>
      <c r="B149" s="265">
        <v>2</v>
      </c>
      <c r="C149" s="294">
        <f>IF(ISNA(VLOOKUP(A149,'Listado de Artículos'!$B$16:$F$1328,5,0)),0,(VLOOKUP(A149,'Listado de Artículos'!$B$16:$F$1328,5,0)))</f>
        <v>4.5</v>
      </c>
      <c r="D149" s="265">
        <v>1</v>
      </c>
      <c r="E149" s="265">
        <v>1</v>
      </c>
      <c r="F149" s="264">
        <f>IF(D149&gt;0,(E149/D149),"")</f>
        <v>1</v>
      </c>
      <c r="G149" s="264">
        <f>IF(D149&gt;0,(100%-F149),"")</f>
        <v>0</v>
      </c>
      <c r="H149" s="265">
        <f>IF(B149&gt;0,(G149*B149/F149),"")</f>
        <v>0</v>
      </c>
      <c r="I149" s="265">
        <f>IF(B149&gt;0,(B149+H149),"")</f>
        <v>2</v>
      </c>
      <c r="J149" s="211">
        <f>IF(C149&gt;0,(C149*I149),"")</f>
        <v>9</v>
      </c>
    </row>
    <row r="150" spans="1:10" ht="13.8" customHeight="1" x14ac:dyDescent="0.3">
      <c r="A150" s="221" t="s">
        <v>360</v>
      </c>
      <c r="B150" s="265">
        <v>0.3</v>
      </c>
      <c r="C150" s="294">
        <f>IF(ISNA(VLOOKUP(A150,'Listado de Artículos'!$B$16:$F$1328,5,0)),0,(VLOOKUP(A150,'Listado de Artículos'!$B$16:$F$1328,5,0)))</f>
        <v>4.25</v>
      </c>
      <c r="D150" s="265">
        <v>1</v>
      </c>
      <c r="E150" s="265">
        <v>1</v>
      </c>
      <c r="F150" s="264">
        <f>IF(D150&gt;0,(E150/D150),"")</f>
        <v>1</v>
      </c>
      <c r="G150" s="264">
        <f>IF(D150&gt;0,(100%-F150),"")</f>
        <v>0</v>
      </c>
      <c r="H150" s="265">
        <f>IF(B150&gt;0,(G150*B150/F150),"")</f>
        <v>0</v>
      </c>
      <c r="I150" s="265">
        <f>IF(B150&gt;0,(B150+H150),"")</f>
        <v>0.3</v>
      </c>
      <c r="J150" s="211">
        <f>IF(C150&gt;0,(C150*I150),"")</f>
        <v>1.2749999999999999</v>
      </c>
    </row>
    <row r="151" spans="1:10" ht="13.8" customHeight="1" x14ac:dyDescent="0.3">
      <c r="A151" s="221" t="s">
        <v>304</v>
      </c>
      <c r="B151" s="265">
        <v>0.3</v>
      </c>
      <c r="C151" s="294">
        <f>IF(ISNA(VLOOKUP(A151,'Listado de Artículos'!$B$16:$F$1328,5,0)),0,(VLOOKUP(A151,'Listado de Artículos'!$B$16:$F$1328,5,0)))</f>
        <v>19.899999999999999</v>
      </c>
      <c r="D151" s="265">
        <v>1</v>
      </c>
      <c r="E151" s="265">
        <v>1</v>
      </c>
      <c r="F151" s="264">
        <f>IF(D151&gt;0,(E151/D151),"")</f>
        <v>1</v>
      </c>
      <c r="G151" s="264">
        <f>IF(D151&gt;0,(100%-F151),"")</f>
        <v>0</v>
      </c>
      <c r="H151" s="265">
        <f>IF(B151&gt;0,(G151*B151/F151),"")</f>
        <v>0</v>
      </c>
      <c r="I151" s="265">
        <f>IF(B151&gt;0,(B151+H151),"")</f>
        <v>0.3</v>
      </c>
      <c r="J151" s="211">
        <f>IF(C151&gt;0,(C151*I151),"")</f>
        <v>5.97</v>
      </c>
    </row>
    <row r="152" spans="1:10" ht="13.2" customHeight="1" x14ac:dyDescent="0.25">
      <c r="A152" s="259"/>
      <c r="B152" s="329"/>
      <c r="C152" s="304"/>
      <c r="D152" s="304"/>
      <c r="E152" s="304"/>
      <c r="F152" s="304"/>
      <c r="G152" s="304"/>
      <c r="H152" s="304"/>
      <c r="I152" s="259"/>
      <c r="J152" s="259"/>
    </row>
    <row r="153" spans="1:10" ht="13.2" customHeight="1" x14ac:dyDescent="0.25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</row>
    <row r="157" spans="1:10" ht="15.6" customHeight="1" x14ac:dyDescent="0.3">
      <c r="A157" s="259"/>
      <c r="B157" s="213" t="s">
        <v>407</v>
      </c>
      <c r="C157" s="332" t="s">
        <v>384</v>
      </c>
      <c r="D157" s="310"/>
      <c r="E157" s="310"/>
      <c r="F157" s="310"/>
      <c r="G157" s="310"/>
      <c r="H157" s="310"/>
      <c r="I157" s="310"/>
      <c r="J157" s="310"/>
    </row>
    <row r="158" spans="1:10" ht="15.6" customHeight="1" x14ac:dyDescent="0.3">
      <c r="A158" s="212"/>
      <c r="B158" s="214" t="s">
        <v>409</v>
      </c>
      <c r="C158" s="335" t="s">
        <v>425</v>
      </c>
      <c r="D158" s="312"/>
      <c r="E158" s="312"/>
      <c r="F158" s="313"/>
      <c r="G158" s="333" t="s">
        <v>426</v>
      </c>
      <c r="H158" s="315"/>
      <c r="I158" s="336"/>
      <c r="J158" s="308"/>
    </row>
    <row r="159" spans="1:10" ht="15.6" customHeight="1" x14ac:dyDescent="0.3">
      <c r="A159" s="259"/>
      <c r="B159" s="215" t="s">
        <v>411</v>
      </c>
      <c r="C159" s="216">
        <v>58</v>
      </c>
      <c r="D159" s="331" t="s">
        <v>412</v>
      </c>
      <c r="E159" s="318"/>
      <c r="F159" s="217">
        <f>SUM(J162:J164)</f>
        <v>8.7999999999999989</v>
      </c>
      <c r="G159" s="330" t="s">
        <v>427</v>
      </c>
      <c r="H159" s="315"/>
      <c r="I159" s="295">
        <f>F159/C159</f>
        <v>0.15172413793103445</v>
      </c>
      <c r="J159" s="296"/>
    </row>
    <row r="160" spans="1:10" ht="13.2" customHeight="1" x14ac:dyDescent="0.25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</row>
    <row r="161" spans="1:10" ht="13.8" customHeight="1" x14ac:dyDescent="0.3">
      <c r="A161" s="218" t="s">
        <v>414</v>
      </c>
      <c r="B161" s="219" t="s">
        <v>415</v>
      </c>
      <c r="C161" s="219" t="s">
        <v>416</v>
      </c>
      <c r="D161" s="219" t="s">
        <v>417</v>
      </c>
      <c r="E161" s="219" t="s">
        <v>418</v>
      </c>
      <c r="F161" s="219" t="s">
        <v>419</v>
      </c>
      <c r="G161" s="219" t="s">
        <v>420</v>
      </c>
      <c r="H161" s="219" t="s">
        <v>421</v>
      </c>
      <c r="I161" s="219" t="s">
        <v>422</v>
      </c>
      <c r="J161" s="220" t="s">
        <v>423</v>
      </c>
    </row>
    <row r="162" spans="1:10" ht="13.8" customHeight="1" x14ac:dyDescent="0.3">
      <c r="A162" s="221" t="s">
        <v>380</v>
      </c>
      <c r="B162" s="265">
        <v>0.5</v>
      </c>
      <c r="C162" s="294">
        <f>IF(ISNA(VLOOKUP(A162,'Listado de Artículos'!$B$16:$F$1328,5,0)),0,(VLOOKUP(A162,'Listado de Artículos'!$B$16:$F$1328,5,0)))</f>
        <v>13.2</v>
      </c>
      <c r="D162" s="265">
        <v>1</v>
      </c>
      <c r="E162" s="265">
        <v>1</v>
      </c>
      <c r="F162" s="264">
        <f>IF(D162&gt;0,(E162/D162),"")</f>
        <v>1</v>
      </c>
      <c r="G162" s="264">
        <f>IF(D162&gt;0,(100%-F162),"")</f>
        <v>0</v>
      </c>
      <c r="H162" s="265">
        <f>IF(B162&gt;0,(G162*B162/F162),"")</f>
        <v>0</v>
      </c>
      <c r="I162" s="265">
        <f>IF(B162&gt;0,(B162+H162),"")</f>
        <v>0.5</v>
      </c>
      <c r="J162" s="211">
        <f>IF(C162&gt;0,(C162*I162),"")</f>
        <v>6.6</v>
      </c>
    </row>
    <row r="163" spans="1:10" ht="13.8" customHeight="1" x14ac:dyDescent="0.3">
      <c r="A163" s="221" t="s">
        <v>231</v>
      </c>
      <c r="B163" s="265">
        <v>1</v>
      </c>
      <c r="C163" s="294">
        <f>IF(ISNA(VLOOKUP(A163,'Listado de Artículos'!$B$16:$F$1328,5,0)),0,(VLOOKUP(A163,'Listado de Artículos'!$B$16:$F$1328,5,0)))</f>
        <v>1.38</v>
      </c>
      <c r="D163" s="265">
        <v>1</v>
      </c>
      <c r="E163" s="265">
        <v>1</v>
      </c>
      <c r="F163" s="264">
        <f>IF(D163&gt;0,(E163/D163),"")</f>
        <v>1</v>
      </c>
      <c r="G163" s="264">
        <f>IF(D163&gt;0,(100%-F163),"")</f>
        <v>0</v>
      </c>
      <c r="H163" s="265">
        <f>IF(B163&gt;0,(G163*B163/F163),"")</f>
        <v>0</v>
      </c>
      <c r="I163" s="265">
        <f>IF(B163&gt;0,(B163+H163),"")</f>
        <v>1</v>
      </c>
      <c r="J163" s="211">
        <f>IF(C163&gt;0,(C163*I163),"")</f>
        <v>1.38</v>
      </c>
    </row>
    <row r="164" spans="1:10" ht="13.8" customHeight="1" x14ac:dyDescent="0.3">
      <c r="A164" s="221" t="s">
        <v>87</v>
      </c>
      <c r="B164" s="265">
        <v>1</v>
      </c>
      <c r="C164" s="294">
        <f>IF(ISNA(VLOOKUP(A164,'Listado de Artículos'!$B$16:$F$1328,5,0)),0,(VLOOKUP(A164,'Listado de Artículos'!$B$16:$F$1328,5,0)))</f>
        <v>0.82</v>
      </c>
      <c r="D164" s="265">
        <v>1</v>
      </c>
      <c r="E164" s="265">
        <v>1</v>
      </c>
      <c r="F164" s="264">
        <f>IF(D164&gt;0,(E164/D164),"")</f>
        <v>1</v>
      </c>
      <c r="G164" s="264">
        <f>IF(D164&gt;0,(100%-F164),"")</f>
        <v>0</v>
      </c>
      <c r="H164" s="265">
        <f>IF(B164&gt;0,(G164*B164/F164),"")</f>
        <v>0</v>
      </c>
      <c r="I164" s="265">
        <f>IF(B164&gt;0,(B164+H164),"")</f>
        <v>1</v>
      </c>
      <c r="J164" s="211">
        <f>IF(C164&gt;0,(C164*I164),"")</f>
        <v>0.82</v>
      </c>
    </row>
    <row r="165" spans="1:10" ht="13.2" customHeight="1" x14ac:dyDescent="0.25">
      <c r="A165" s="259"/>
      <c r="B165" s="329"/>
      <c r="C165" s="304"/>
      <c r="D165" s="304"/>
      <c r="E165" s="304"/>
      <c r="F165" s="304"/>
      <c r="G165" s="304"/>
      <c r="H165" s="304"/>
      <c r="I165" s="259"/>
      <c r="J165" s="259"/>
    </row>
    <row r="166" spans="1:10" ht="13.2" customHeight="1" x14ac:dyDescent="0.25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</row>
    <row r="168" spans="1:10" ht="15.6" customHeight="1" x14ac:dyDescent="0.3">
      <c r="A168" s="259"/>
      <c r="B168" s="213" t="s">
        <v>407</v>
      </c>
      <c r="C168" s="332" t="s">
        <v>385</v>
      </c>
      <c r="D168" s="310"/>
      <c r="E168" s="310"/>
      <c r="F168" s="310"/>
      <c r="G168" s="310"/>
      <c r="H168" s="310"/>
      <c r="I168" s="310"/>
      <c r="J168" s="310"/>
    </row>
    <row r="169" spans="1:10" ht="15.6" customHeight="1" x14ac:dyDescent="0.3">
      <c r="A169" s="212"/>
      <c r="B169" s="214" t="s">
        <v>409</v>
      </c>
      <c r="C169" s="335" t="s">
        <v>425</v>
      </c>
      <c r="D169" s="312"/>
      <c r="E169" s="312"/>
      <c r="F169" s="313"/>
      <c r="G169" s="333" t="s">
        <v>426</v>
      </c>
      <c r="H169" s="315"/>
      <c r="I169" s="336"/>
      <c r="J169" s="308"/>
    </row>
    <row r="170" spans="1:10" ht="15.6" customHeight="1" x14ac:dyDescent="0.3">
      <c r="A170" s="259"/>
      <c r="B170" s="215" t="s">
        <v>411</v>
      </c>
      <c r="C170" s="216">
        <v>58</v>
      </c>
      <c r="D170" s="331" t="s">
        <v>412</v>
      </c>
      <c r="E170" s="318"/>
      <c r="F170" s="217">
        <f>SUM(J173:J175)</f>
        <v>8.11</v>
      </c>
      <c r="G170" s="330" t="s">
        <v>427</v>
      </c>
      <c r="H170" s="315"/>
      <c r="I170" s="295">
        <f>F170/C170</f>
        <v>0.13982758620689653</v>
      </c>
      <c r="J170" s="296"/>
    </row>
    <row r="171" spans="1:10" ht="13.2" customHeight="1" x14ac:dyDescent="0.25">
      <c r="A171" s="259"/>
      <c r="B171" s="259"/>
      <c r="C171" s="259"/>
      <c r="D171" s="259"/>
      <c r="E171" s="259"/>
      <c r="F171" s="259"/>
      <c r="G171" s="259"/>
      <c r="H171" s="259"/>
      <c r="I171" s="259"/>
      <c r="J171" s="259"/>
    </row>
    <row r="172" spans="1:10" ht="13.8" customHeight="1" x14ac:dyDescent="0.3">
      <c r="A172" s="218" t="s">
        <v>414</v>
      </c>
      <c r="B172" s="219" t="s">
        <v>415</v>
      </c>
      <c r="C172" s="219" t="s">
        <v>416</v>
      </c>
      <c r="D172" s="219" t="s">
        <v>417</v>
      </c>
      <c r="E172" s="219" t="s">
        <v>418</v>
      </c>
      <c r="F172" s="219" t="s">
        <v>419</v>
      </c>
      <c r="G172" s="219" t="s">
        <v>420</v>
      </c>
      <c r="H172" s="219" t="s">
        <v>421</v>
      </c>
      <c r="I172" s="219" t="s">
        <v>422</v>
      </c>
      <c r="J172" s="220" t="s">
        <v>423</v>
      </c>
    </row>
    <row r="173" spans="1:10" ht="13.8" customHeight="1" x14ac:dyDescent="0.3">
      <c r="A173" s="221" t="s">
        <v>231</v>
      </c>
      <c r="B173" s="265">
        <v>3</v>
      </c>
      <c r="C173" s="294">
        <f>IF(ISNA(VLOOKUP(A173,'Listado de Artículos'!$B$16:$F$1328,5,0)),0,(VLOOKUP(A173,'Listado de Artículos'!$B$16:$F$1328,5,0)))</f>
        <v>1.38</v>
      </c>
      <c r="D173" s="265">
        <v>1</v>
      </c>
      <c r="E173" s="265">
        <v>1</v>
      </c>
      <c r="F173" s="264">
        <f>IF(D173&gt;0,(E173/D173),"")</f>
        <v>1</v>
      </c>
      <c r="G173" s="264">
        <f>IF(D173&gt;0,(100%-F173),"")</f>
        <v>0</v>
      </c>
      <c r="H173" s="265">
        <f>IF(B173&gt;0,(G173*B173/F173),"")</f>
        <v>0</v>
      </c>
      <c r="I173" s="265">
        <f>IF(B173&gt;0,(B173+H173),"")</f>
        <v>3</v>
      </c>
      <c r="J173" s="211">
        <f>IF(C173&gt;0,(C173*I173),"")</f>
        <v>4.1399999999999997</v>
      </c>
    </row>
    <row r="174" spans="1:10" ht="13.8" customHeight="1" x14ac:dyDescent="0.3">
      <c r="A174" s="221" t="s">
        <v>87</v>
      </c>
      <c r="B174" s="265">
        <v>1</v>
      </c>
      <c r="C174" s="294">
        <f>IF(ISNA(VLOOKUP(A174,'Listado de Artículos'!$B$16:$F$1328,5,0)),0,(VLOOKUP(A174,'Listado de Artículos'!$B$16:$F$1328,5,0)))</f>
        <v>0.82</v>
      </c>
      <c r="D174" s="265">
        <v>1</v>
      </c>
      <c r="E174" s="265">
        <v>1</v>
      </c>
      <c r="F174" s="264">
        <f>IF(D174&gt;0,(E174/D174),"")</f>
        <v>1</v>
      </c>
      <c r="G174" s="264">
        <f>IF(D174&gt;0,(100%-F174),"")</f>
        <v>0</v>
      </c>
      <c r="H174" s="265">
        <f>IF(B174&gt;0,(G174*B174/F174),"")</f>
        <v>0</v>
      </c>
      <c r="I174" s="265">
        <f>IF(B174&gt;0,(B174+H174),"")</f>
        <v>1</v>
      </c>
      <c r="J174" s="211">
        <f>IF(C174&gt;0,(C174*I174),"")</f>
        <v>0.82</v>
      </c>
    </row>
    <row r="175" spans="1:10" ht="13.8" customHeight="1" x14ac:dyDescent="0.3">
      <c r="A175" s="221" t="s">
        <v>243</v>
      </c>
      <c r="B175" s="265">
        <v>1</v>
      </c>
      <c r="C175" s="294">
        <f>IF(ISNA(VLOOKUP(A175,'Listado de Artículos'!$B$16:$F$1328,5,0)),0,(VLOOKUP(A175,'Listado de Artículos'!$B$16:$F$1328,5,0)))</f>
        <v>3.15</v>
      </c>
      <c r="D175" s="265">
        <v>1</v>
      </c>
      <c r="E175" s="265">
        <v>1</v>
      </c>
      <c r="F175" s="264">
        <f>IF(D175&gt;0,(E175/D175),"")</f>
        <v>1</v>
      </c>
      <c r="G175" s="264">
        <f>IF(D175&gt;0,(100%-F175),"")</f>
        <v>0</v>
      </c>
      <c r="H175" s="265">
        <f>IF(B175&gt;0,(G175*B175/F175),"")</f>
        <v>0</v>
      </c>
      <c r="I175" s="265">
        <f>IF(B175&gt;0,(B175+H175),"")</f>
        <v>1</v>
      </c>
      <c r="J175" s="211">
        <f>IF(C175&gt;0,(C175*I175),"")</f>
        <v>3.15</v>
      </c>
    </row>
    <row r="176" spans="1:10" ht="13.2" customHeight="1" x14ac:dyDescent="0.25">
      <c r="A176" s="259"/>
      <c r="B176" s="329"/>
      <c r="C176" s="304"/>
      <c r="D176" s="304"/>
      <c r="E176" s="304"/>
      <c r="F176" s="304"/>
      <c r="G176" s="304"/>
      <c r="H176" s="304"/>
      <c r="I176" s="259"/>
      <c r="J176" s="259"/>
    </row>
    <row r="177" spans="1:10" ht="13.2" customHeight="1" x14ac:dyDescent="0.25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</row>
    <row r="179" spans="1:10" ht="15.6" customHeight="1" x14ac:dyDescent="0.3">
      <c r="A179" s="259"/>
      <c r="B179" s="213" t="s">
        <v>407</v>
      </c>
      <c r="C179" s="332" t="s">
        <v>483</v>
      </c>
      <c r="D179" s="310"/>
      <c r="E179" s="310"/>
      <c r="F179" s="310"/>
      <c r="G179" s="310"/>
      <c r="H179" s="310"/>
      <c r="I179" s="310"/>
      <c r="J179" s="310"/>
    </row>
    <row r="180" spans="1:10" ht="15.6" customHeight="1" x14ac:dyDescent="0.3">
      <c r="A180" s="212"/>
      <c r="B180" s="214" t="s">
        <v>409</v>
      </c>
      <c r="C180" s="335" t="s">
        <v>425</v>
      </c>
      <c r="D180" s="312"/>
      <c r="E180" s="312"/>
      <c r="F180" s="313"/>
      <c r="G180" s="333" t="s">
        <v>426</v>
      </c>
      <c r="H180" s="315"/>
      <c r="I180" s="336"/>
      <c r="J180" s="308"/>
    </row>
    <row r="181" spans="1:10" ht="15.6" customHeight="1" x14ac:dyDescent="0.3">
      <c r="A181" s="259"/>
      <c r="B181" s="215" t="s">
        <v>411</v>
      </c>
      <c r="C181" s="216">
        <v>58</v>
      </c>
      <c r="D181" s="331" t="s">
        <v>412</v>
      </c>
      <c r="E181" s="318"/>
      <c r="F181" s="217">
        <f>SUM(J184:J185)</f>
        <v>14.46</v>
      </c>
      <c r="G181" s="330" t="s">
        <v>427</v>
      </c>
      <c r="H181" s="315"/>
      <c r="I181" s="295">
        <f>F181/C181</f>
        <v>0.24931034482758621</v>
      </c>
      <c r="J181" s="296"/>
    </row>
    <row r="182" spans="1:10" ht="13.2" customHeight="1" x14ac:dyDescent="0.25">
      <c r="A182" s="259"/>
      <c r="B182" s="259"/>
      <c r="C182" s="259"/>
      <c r="D182" s="259"/>
      <c r="E182" s="259"/>
      <c r="F182" s="259"/>
      <c r="G182" s="259"/>
      <c r="H182" s="259"/>
      <c r="I182" s="259"/>
      <c r="J182" s="259"/>
    </row>
    <row r="183" spans="1:10" ht="13.8" customHeight="1" x14ac:dyDescent="0.3">
      <c r="A183" s="218" t="s">
        <v>414</v>
      </c>
      <c r="B183" s="219" t="s">
        <v>415</v>
      </c>
      <c r="C183" s="219" t="s">
        <v>416</v>
      </c>
      <c r="D183" s="219" t="s">
        <v>417</v>
      </c>
      <c r="E183" s="219" t="s">
        <v>418</v>
      </c>
      <c r="F183" s="219" t="s">
        <v>419</v>
      </c>
      <c r="G183" s="219" t="s">
        <v>420</v>
      </c>
      <c r="H183" s="219" t="s">
        <v>421</v>
      </c>
      <c r="I183" s="219" t="s">
        <v>422</v>
      </c>
      <c r="J183" s="220" t="s">
        <v>423</v>
      </c>
    </row>
    <row r="184" spans="1:10" ht="13.8" customHeight="1" x14ac:dyDescent="0.3">
      <c r="A184" s="221" t="s">
        <v>382</v>
      </c>
      <c r="B184" s="265">
        <v>1</v>
      </c>
      <c r="C184" s="294">
        <f>IF(ISNA(VLOOKUP(A184,'Listado de Artículos'!$B$16:$F$1328,5,0)),0,(VLOOKUP(A184,'Listado de Artículos'!$B$16:$F$1328,5,0)))</f>
        <v>11</v>
      </c>
      <c r="D184" s="265">
        <v>1</v>
      </c>
      <c r="E184" s="265">
        <v>1</v>
      </c>
      <c r="F184" s="264">
        <f>IF(D184&gt;0,(E184/D184),"")</f>
        <v>1</v>
      </c>
      <c r="G184" s="264">
        <f>IF(D184&gt;0,(100%-F184),"")</f>
        <v>0</v>
      </c>
      <c r="H184" s="265">
        <f>IF(B184&gt;0,(G184*B184/F184),"")</f>
        <v>0</v>
      </c>
      <c r="I184" s="265">
        <f>IF(B184&gt;0,(B184+H184),"")</f>
        <v>1</v>
      </c>
      <c r="J184" s="211">
        <f>IF(C184&gt;0,(C184*I184),"")</f>
        <v>11</v>
      </c>
    </row>
    <row r="185" spans="1:10" ht="13.8" customHeight="1" x14ac:dyDescent="0.3">
      <c r="A185" s="221" t="s">
        <v>364</v>
      </c>
      <c r="B185" s="265">
        <v>1</v>
      </c>
      <c r="C185" s="294">
        <f>IF(ISNA(VLOOKUP(A185,'Listado de Artículos'!$B$16:$F$1328,5,0)),0,(VLOOKUP(A185,'Listado de Artículos'!$B$16:$F$1328,5,0)))</f>
        <v>3.46</v>
      </c>
      <c r="D185" s="265">
        <v>1</v>
      </c>
      <c r="E185" s="265">
        <v>1</v>
      </c>
      <c r="F185" s="264">
        <f>IF(D185&gt;0,(E185/D185),"")</f>
        <v>1</v>
      </c>
      <c r="G185" s="264">
        <f>IF(D185&gt;0,(100%-F185),"")</f>
        <v>0</v>
      </c>
      <c r="H185" s="265">
        <f>IF(B185&gt;0,(G185*B185/F185),"")</f>
        <v>0</v>
      </c>
      <c r="I185" s="265">
        <f>IF(B185&gt;0,(B185+H185),"")</f>
        <v>1</v>
      </c>
      <c r="J185" s="211">
        <f>IF(C185&gt;0,(C185*I185),"")</f>
        <v>3.46</v>
      </c>
    </row>
    <row r="186" spans="1:10" ht="13.2" customHeight="1" x14ac:dyDescent="0.25">
      <c r="A186" s="259"/>
      <c r="B186" s="329"/>
      <c r="C186" s="304"/>
      <c r="D186" s="304"/>
      <c r="E186" s="304"/>
      <c r="F186" s="304"/>
      <c r="G186" s="304"/>
      <c r="H186" s="304"/>
      <c r="I186" s="259"/>
      <c r="J186" s="259"/>
    </row>
    <row r="187" spans="1:10" ht="13.2" customHeight="1" x14ac:dyDescent="0.25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</row>
  </sheetData>
  <mergeCells count="93">
    <mergeCell ref="C41:J41"/>
    <mergeCell ref="D181:E181"/>
    <mergeCell ref="C179:J179"/>
    <mergeCell ref="I158:J158"/>
    <mergeCell ref="D9:E9"/>
    <mergeCell ref="C143:F143"/>
    <mergeCell ref="G52:H52"/>
    <mergeCell ref="D53:E53"/>
    <mergeCell ref="C73:J73"/>
    <mergeCell ref="C51:J51"/>
    <mergeCell ref="C52:F52"/>
    <mergeCell ref="C130:F130"/>
    <mergeCell ref="G88:H88"/>
    <mergeCell ref="D170:E170"/>
    <mergeCell ref="D43:E43"/>
    <mergeCell ref="D24:E24"/>
    <mergeCell ref="I52:J52"/>
    <mergeCell ref="B4:J4"/>
    <mergeCell ref="I180:J180"/>
    <mergeCell ref="G63:H63"/>
    <mergeCell ref="D75:E75"/>
    <mergeCell ref="G101:H101"/>
    <mergeCell ref="G144:H144"/>
    <mergeCell ref="G169:H169"/>
    <mergeCell ref="G180:H180"/>
    <mergeCell ref="C22:J22"/>
    <mergeCell ref="G158:H158"/>
    <mergeCell ref="C168:J168"/>
    <mergeCell ref="B114:H114"/>
    <mergeCell ref="G143:H143"/>
    <mergeCell ref="C7:J7"/>
    <mergeCell ref="C62:J62"/>
    <mergeCell ref="D64:E64"/>
    <mergeCell ref="I42:J42"/>
    <mergeCell ref="G8:H8"/>
    <mergeCell ref="C180:F180"/>
    <mergeCell ref="I23:J23"/>
    <mergeCell ref="I169:J169"/>
    <mergeCell ref="C118:F118"/>
    <mergeCell ref="C142:J142"/>
    <mergeCell ref="C86:J86"/>
    <mergeCell ref="D88:E88"/>
    <mergeCell ref="G42:H42"/>
    <mergeCell ref="I118:J118"/>
    <mergeCell ref="G87:H87"/>
    <mergeCell ref="G131:H131"/>
    <mergeCell ref="I63:J63"/>
    <mergeCell ref="C101:F101"/>
    <mergeCell ref="C158:F158"/>
    <mergeCell ref="G181:H181"/>
    <mergeCell ref="D131:E131"/>
    <mergeCell ref="B186:H186"/>
    <mergeCell ref="C74:F74"/>
    <mergeCell ref="D102:E102"/>
    <mergeCell ref="C100:J100"/>
    <mergeCell ref="C87:F87"/>
    <mergeCell ref="G102:H102"/>
    <mergeCell ref="I74:J74"/>
    <mergeCell ref="B139:H139"/>
    <mergeCell ref="G170:H170"/>
    <mergeCell ref="B152:H152"/>
    <mergeCell ref="D144:E144"/>
    <mergeCell ref="G119:H119"/>
    <mergeCell ref="G74:H74"/>
    <mergeCell ref="C169:F169"/>
    <mergeCell ref="G24:H24"/>
    <mergeCell ref="C117:J117"/>
    <mergeCell ref="G130:H130"/>
    <mergeCell ref="B3:J3"/>
    <mergeCell ref="C129:J129"/>
    <mergeCell ref="C42:F42"/>
    <mergeCell ref="G53:H53"/>
    <mergeCell ref="G43:H43"/>
    <mergeCell ref="C8:F8"/>
    <mergeCell ref="I8:J8"/>
    <mergeCell ref="G9:H9"/>
    <mergeCell ref="G23:H23"/>
    <mergeCell ref="C63:F63"/>
    <mergeCell ref="C23:F23"/>
    <mergeCell ref="I87:J87"/>
    <mergeCell ref="G64:H64"/>
    <mergeCell ref="B165:H165"/>
    <mergeCell ref="B176:H176"/>
    <mergeCell ref="G75:H75"/>
    <mergeCell ref="B125:H125"/>
    <mergeCell ref="D119:E119"/>
    <mergeCell ref="D159:E159"/>
    <mergeCell ref="C157:J157"/>
    <mergeCell ref="G118:H118"/>
    <mergeCell ref="G159:H159"/>
    <mergeCell ref="I101:J101"/>
    <mergeCell ref="I143:J143"/>
    <mergeCell ref="I130:J130"/>
  </mergeCells>
  <dataValidations count="1">
    <dataValidation type="list" allowBlank="1" showErrorMessage="1" sqref="A12:A18 A27:A37 A46:A48 A56:A59 A67:A69 A78:A82 A91:A96 A105:A113 A122:A124 A134:A138 A147:A151 A162:A164 A173:A175 A184:A185">
      <formula1>Articulo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998"/>
  <sheetViews>
    <sheetView workbookViewId="0"/>
  </sheetViews>
  <sheetFormatPr baseColWidth="10" defaultColWidth="12.6640625" defaultRowHeight="15" customHeight="1" x14ac:dyDescent="0.25"/>
  <cols>
    <col min="1" max="1" width="75.33203125" style="302" customWidth="1"/>
    <col min="2" max="2" width="8.6640625" style="302" customWidth="1"/>
    <col min="3" max="3" width="10.77734375" style="302" customWidth="1"/>
    <col min="4" max="4" width="11.6640625" style="302" customWidth="1"/>
    <col min="5" max="5" width="11.21875" style="302" customWidth="1"/>
    <col min="6" max="6" width="6.6640625" style="302" customWidth="1"/>
    <col min="7" max="26" width="8.6640625" style="302" customWidth="1"/>
  </cols>
  <sheetData>
    <row r="1" spans="1:12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12" ht="12.75" customHeight="1" x14ac:dyDescent="0.25">
      <c r="A2" s="322" t="s">
        <v>486</v>
      </c>
      <c r="B2" s="323"/>
      <c r="C2" s="323"/>
      <c r="D2" s="323"/>
      <c r="E2" s="323"/>
      <c r="F2" s="324"/>
    </row>
    <row r="3" spans="1:12" ht="12.75" customHeight="1" x14ac:dyDescent="0.25">
      <c r="A3" s="325"/>
      <c r="B3" s="326"/>
      <c r="C3" s="326"/>
      <c r="D3" s="326"/>
      <c r="E3" s="326"/>
      <c r="F3" s="327"/>
    </row>
    <row r="4" spans="1:12" ht="12.75" customHeight="1" x14ac:dyDescent="0.3">
      <c r="A4" s="196" t="s">
        <v>444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2" ht="12.75" customHeight="1" x14ac:dyDescent="0.3">
      <c r="A5" s="198" t="s">
        <v>487</v>
      </c>
      <c r="B5" s="279" t="s">
        <v>450</v>
      </c>
      <c r="C5" s="280" t="s">
        <v>451</v>
      </c>
      <c r="D5" s="199" t="s">
        <v>452</v>
      </c>
      <c r="E5" s="281"/>
    </row>
    <row r="6" spans="1:12" ht="12.75" customHeight="1" x14ac:dyDescent="0.3">
      <c r="A6" s="204" t="s">
        <v>371</v>
      </c>
      <c r="B6" s="262">
        <v>1</v>
      </c>
      <c r="C6" s="263">
        <f>IF(ISNA(VLOOKUP(A6,'Listado de Artículos'!$B$16:$F$1328,5,0)),0,(VLOOKUP(A6,'Listado de Artículos'!$B$16:$F$1328,5,0)))</f>
        <v>0.59461724137931049</v>
      </c>
      <c r="D6" s="211">
        <f t="shared" ref="D6:D13" si="0">B6*C6</f>
        <v>0.59461724137931049</v>
      </c>
      <c r="E6" s="281"/>
      <c r="F6" s="76"/>
    </row>
    <row r="7" spans="1:12" ht="12.75" customHeight="1" x14ac:dyDescent="0.3">
      <c r="A7" s="204" t="s">
        <v>372</v>
      </c>
      <c r="B7" s="262">
        <v>1</v>
      </c>
      <c r="C7" s="263">
        <f>IF(ISNA(VLOOKUP(A7,'Listado de Artículos'!$B$16:$F$1328,5,0)),0,(VLOOKUP(A7,'Listado de Artículos'!$B$16:$F$1328,5,0)))</f>
        <v>29.998862068965522</v>
      </c>
      <c r="D7" s="211">
        <f t="shared" si="0"/>
        <v>29.998862068965522</v>
      </c>
      <c r="E7" s="281"/>
      <c r="F7" s="76"/>
    </row>
    <row r="8" spans="1:12" ht="12.75" customHeight="1" x14ac:dyDescent="0.3">
      <c r="A8" s="204" t="s">
        <v>373</v>
      </c>
      <c r="B8" s="262">
        <v>1</v>
      </c>
      <c r="C8" s="263">
        <f>IF(ISNA(VLOOKUP(A8,'Listado de Artículos'!$B$16:$F$1328,5,0)),0,(VLOOKUP(A8,'Listado de Artículos'!$B$16:$F$1328,5,0)))</f>
        <v>0.8370689655172413</v>
      </c>
      <c r="D8" s="211">
        <f t="shared" si="0"/>
        <v>0.8370689655172413</v>
      </c>
      <c r="E8" s="281"/>
    </row>
    <row r="9" spans="1:12" ht="12.75" customHeight="1" x14ac:dyDescent="0.3">
      <c r="A9" s="204" t="s">
        <v>376</v>
      </c>
      <c r="B9" s="262">
        <v>1</v>
      </c>
      <c r="C9" s="263">
        <f>IF(ISNA(VLOOKUP(A9,'Listado de Artículos'!$B$16:$F$1328,5,0)),0,(VLOOKUP(A9,'Listado de Artículos'!$B$16:$F$1328,5,0)))</f>
        <v>0.75613793103448279</v>
      </c>
      <c r="D9" s="211">
        <f t="shared" si="0"/>
        <v>0.75613793103448279</v>
      </c>
      <c r="E9" s="281"/>
      <c r="F9" s="76"/>
    </row>
    <row r="10" spans="1:12" ht="12.75" customHeight="1" x14ac:dyDescent="0.3">
      <c r="A10" s="204" t="s">
        <v>374</v>
      </c>
      <c r="B10" s="262">
        <v>1</v>
      </c>
      <c r="C10" s="263">
        <f>IF(ISNA(VLOOKUP(A10,'Listado de Artículos'!$B$16:$F$1328,5,0)),0,(VLOOKUP(A10,'Listado de Artículos'!$B$16:$F$1328,5,0)))</f>
        <v>3.1084999999999998</v>
      </c>
      <c r="D10" s="211">
        <f t="shared" si="0"/>
        <v>3.1084999999999998</v>
      </c>
      <c r="E10" s="281"/>
    </row>
    <row r="11" spans="1:12" ht="12.75" customHeight="1" x14ac:dyDescent="0.3">
      <c r="A11" s="204" t="s">
        <v>375</v>
      </c>
      <c r="B11" s="262">
        <v>1</v>
      </c>
      <c r="C11" s="263">
        <f>IF(ISNA(VLOOKUP(A11,'Listado de Artículos'!$B$16:$F$1328,5,0)),0,(VLOOKUP(A11,'Listado de Artículos'!$B$16:$F$1328,5,0)))</f>
        <v>0.15748275862068967</v>
      </c>
      <c r="D11" s="211">
        <f t="shared" si="0"/>
        <v>0.15748275862068967</v>
      </c>
      <c r="E11" s="281"/>
    </row>
    <row r="12" spans="1:12" ht="12.75" customHeight="1" x14ac:dyDescent="0.3">
      <c r="A12" s="204" t="s">
        <v>384</v>
      </c>
      <c r="B12" s="262">
        <v>1</v>
      </c>
      <c r="C12" s="263">
        <f>IF(ISNA(VLOOKUP(A12,'Listado de Artículos'!$B$16:$F$1328,5,0)),0,(VLOOKUP(A12,'Listado de Artículos'!$B$16:$F$1328,5,0)))</f>
        <v>0.12559999999999999</v>
      </c>
      <c r="D12" s="211">
        <f t="shared" si="0"/>
        <v>0.12559999999999999</v>
      </c>
      <c r="E12" s="281"/>
      <c r="F12" s="76"/>
    </row>
    <row r="13" spans="1:12" ht="12.75" customHeight="1" x14ac:dyDescent="0.3">
      <c r="A13" s="204" t="s">
        <v>385</v>
      </c>
      <c r="B13" s="262">
        <v>1</v>
      </c>
      <c r="C13" s="263">
        <f>IF(ISNA(VLOOKUP(A13,'Listado de Artículos'!$B$16:$F$1328,5,0)),0,(VLOOKUP(A13,'Listado de Artículos'!$B$16:$F$1328,5,0)))</f>
        <v>0.13982758620689653</v>
      </c>
      <c r="D13" s="211">
        <f t="shared" si="0"/>
        <v>0.13982758620689653</v>
      </c>
      <c r="E13" s="281"/>
    </row>
    <row r="14" spans="1:12" ht="12.75" customHeight="1" x14ac:dyDescent="0.3">
      <c r="A14" s="209" t="s">
        <v>488</v>
      </c>
      <c r="B14" s="201"/>
      <c r="C14" s="202"/>
      <c r="D14" s="202"/>
      <c r="E14" s="203"/>
    </row>
    <row r="15" spans="1:12" ht="12.75" customHeight="1" x14ac:dyDescent="0.3">
      <c r="A15" s="204" t="s">
        <v>377</v>
      </c>
      <c r="B15" s="290">
        <v>1</v>
      </c>
      <c r="C15" s="291">
        <f>IF(ISNA(VLOOKUP(A15,'Listado de Artículos'!$B$16:$F$1328,5,0)),0,(VLOOKUP(A15,'Listado de Artículos'!$B$16:$F$1328,5,0)))</f>
        <v>1.7559913793103448</v>
      </c>
      <c r="D15" s="210">
        <f>B15*C15</f>
        <v>1.7559913793103448</v>
      </c>
      <c r="E15" s="292"/>
    </row>
    <row r="16" spans="1:12" ht="12.75" customHeight="1" x14ac:dyDescent="0.3">
      <c r="A16" s="200" t="s">
        <v>489</v>
      </c>
      <c r="B16" s="201"/>
      <c r="C16" s="202"/>
      <c r="D16" s="202"/>
      <c r="E16" s="203"/>
    </row>
    <row r="17" spans="1:8" ht="12.75" customHeight="1" x14ac:dyDescent="0.3">
      <c r="A17" s="236" t="s">
        <v>378</v>
      </c>
      <c r="B17" s="262">
        <v>1</v>
      </c>
      <c r="C17" s="263">
        <f>IF(ISNA(VLOOKUP(A17,'Listado de Artículos'!$B$16:$F$1328,5,0)),0,(VLOOKUP(A17,'Listado de Artículos'!$B$16:$F$1328,5,0)))</f>
        <v>0.39396551724137929</v>
      </c>
      <c r="D17" s="211">
        <f>B17*C17</f>
        <v>0.39396551724137929</v>
      </c>
      <c r="E17" s="281"/>
      <c r="F17" s="76"/>
    </row>
    <row r="18" spans="1:8" ht="12.75" customHeight="1" x14ac:dyDescent="0.3">
      <c r="A18" s="200" t="s">
        <v>490</v>
      </c>
      <c r="B18" s="201"/>
      <c r="C18" s="202"/>
      <c r="D18" s="202"/>
      <c r="E18" s="203"/>
    </row>
    <row r="19" spans="1:8" ht="21" customHeight="1" x14ac:dyDescent="0.3">
      <c r="A19" s="204" t="s">
        <v>379</v>
      </c>
      <c r="B19" s="262">
        <v>1</v>
      </c>
      <c r="C19" s="263">
        <f>IF(ISNA(VLOOKUP(A19,'Listado de Artículos'!$B$16:$F$1328,5,0)),0,(VLOOKUP(A19,'Listado de Artículos'!$B$16:$F$1328,5,0)))</f>
        <v>1.4276724137931034</v>
      </c>
      <c r="D19" s="211">
        <f>B19*C19</f>
        <v>1.4276724137931034</v>
      </c>
      <c r="E19" s="281"/>
    </row>
    <row r="20" spans="1:8" ht="12.75" customHeight="1" x14ac:dyDescent="0.3">
      <c r="A20" s="200" t="s">
        <v>491</v>
      </c>
      <c r="B20" s="201"/>
      <c r="C20" s="202"/>
      <c r="D20" s="202"/>
      <c r="E20" s="203"/>
    </row>
    <row r="21" spans="1:8" ht="12.75" customHeight="1" x14ac:dyDescent="0.3">
      <c r="A21" s="204" t="s">
        <v>383</v>
      </c>
      <c r="B21" s="262">
        <v>1</v>
      </c>
      <c r="C21" s="263">
        <f>IF(ISNA(VLOOKUP(A21,'Listado de Artículos'!$B$16:$F$1328,5,0)),0,(VLOOKUP(A21,'Listado de Artículos'!$B$16:$F$1328,5,0)))</f>
        <v>0.24931034482758621</v>
      </c>
      <c r="D21" s="211">
        <f>B21*C21</f>
        <v>0.24931034482758621</v>
      </c>
      <c r="E21" s="281"/>
    </row>
    <row r="22" spans="1:8" ht="12.75" customHeight="1" x14ac:dyDescent="0.3">
      <c r="A22" s="200" t="s">
        <v>492</v>
      </c>
      <c r="B22" s="201"/>
      <c r="C22" s="202"/>
      <c r="D22" s="202"/>
      <c r="E22" s="203"/>
    </row>
    <row r="23" spans="1:8" ht="12.75" customHeight="1" x14ac:dyDescent="0.3">
      <c r="A23" s="204" t="s">
        <v>274</v>
      </c>
      <c r="B23" s="262">
        <v>0.05</v>
      </c>
      <c r="C23" s="263">
        <f>IF(ISNA(VLOOKUP(A23,'Listado de Artículos'!$B$16:$F$1328,5,0)),0,(VLOOKUP(A23,'Listado de Artículos'!$B$16:$F$1328,5,0)))</f>
        <v>3.85</v>
      </c>
      <c r="D23" s="211">
        <f>B23*C23</f>
        <v>0.1925</v>
      </c>
      <c r="E23" s="281"/>
    </row>
    <row r="24" spans="1:8" ht="12.75" customHeight="1" x14ac:dyDescent="0.3">
      <c r="A24" s="204"/>
      <c r="B24" s="262"/>
      <c r="C24" s="263"/>
      <c r="D24" s="211"/>
      <c r="E24" s="281"/>
    </row>
    <row r="25" spans="1:8" ht="12.75" customHeight="1" x14ac:dyDescent="0.3">
      <c r="A25" s="204"/>
      <c r="B25" s="262"/>
      <c r="C25" s="263"/>
      <c r="D25" s="211"/>
      <c r="E25" s="281"/>
    </row>
    <row r="26" spans="1:8" ht="12.75" customHeight="1" x14ac:dyDescent="0.3">
      <c r="A26" s="204"/>
      <c r="B26" s="262"/>
      <c r="C26" s="263"/>
      <c r="D26" s="211"/>
      <c r="E26" s="281"/>
    </row>
    <row r="27" spans="1:8" ht="12.75" customHeight="1" x14ac:dyDescent="0.3">
      <c r="A27" s="204"/>
      <c r="B27" s="262"/>
      <c r="C27" s="263"/>
      <c r="D27" s="211"/>
      <c r="E27" s="281"/>
    </row>
    <row r="28" spans="1:8" ht="12.75" customHeight="1" x14ac:dyDescent="0.3">
      <c r="A28" s="226"/>
      <c r="B28" s="266"/>
      <c r="C28" s="267"/>
      <c r="D28" s="224"/>
      <c r="E28" s="281"/>
    </row>
    <row r="29" spans="1:8" ht="12.75" customHeight="1" x14ac:dyDescent="0.3">
      <c r="A29" s="205" t="s">
        <v>455</v>
      </c>
      <c r="B29" s="286">
        <v>75</v>
      </c>
      <c r="C29" s="287">
        <f>+B29-(B29*0.1)</f>
        <v>67.5</v>
      </c>
      <c r="D29" s="288">
        <f>SUM(D6:D27)</f>
        <v>39.73753620689655</v>
      </c>
      <c r="E29" s="289">
        <f>(D29*100/B29)/100</f>
        <v>0.52983381609195401</v>
      </c>
      <c r="F29" s="227"/>
      <c r="G29" s="206"/>
      <c r="H29" s="206"/>
    </row>
    <row r="30" spans="1:8" ht="12.75" customHeight="1" x14ac:dyDescent="0.25"/>
    <row r="31" spans="1:8" ht="12.75" customHeight="1" x14ac:dyDescent="0.25">
      <c r="D31" s="293">
        <f>B29-D29</f>
        <v>35.26246379310345</v>
      </c>
      <c r="E31" s="225" t="s">
        <v>493</v>
      </c>
    </row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mergeCells count="1">
    <mergeCell ref="A2:F3"/>
  </mergeCells>
  <conditionalFormatting sqref="C29">
    <cfRule type="cellIs" dxfId="23" priority="1" stopIfTrue="1" operator="lessThan">
      <formula>0</formula>
    </cfRule>
  </conditionalFormatting>
  <dataValidations count="1">
    <dataValidation type="list" allowBlank="1" showErrorMessage="1" sqref="A5:A13 A15 A17:A28">
      <formula1>Articulo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640625" defaultRowHeight="15" customHeight="1" x14ac:dyDescent="0.25"/>
  <cols>
    <col min="1" max="1" width="71.109375" style="302" customWidth="1"/>
    <col min="2" max="2" width="41.88671875" style="302" customWidth="1"/>
    <col min="3" max="3" width="10.77734375" style="302" customWidth="1"/>
    <col min="4" max="4" width="11.6640625" style="302" customWidth="1"/>
    <col min="5" max="5" width="12.33203125" style="302" customWidth="1"/>
    <col min="6" max="6" width="59.88671875" style="302" customWidth="1"/>
    <col min="7" max="26" width="8.6640625" style="302" customWidth="1"/>
  </cols>
  <sheetData>
    <row r="1" spans="1:12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12" ht="12.75" customHeight="1" x14ac:dyDescent="0.25">
      <c r="A2" s="322" t="s">
        <v>494</v>
      </c>
      <c r="B2" s="323"/>
      <c r="C2" s="323"/>
      <c r="D2" s="323"/>
      <c r="E2" s="323"/>
      <c r="F2" s="324"/>
    </row>
    <row r="3" spans="1:12" ht="12.75" customHeight="1" x14ac:dyDescent="0.25">
      <c r="A3" s="325"/>
      <c r="B3" s="326"/>
      <c r="C3" s="326"/>
      <c r="D3" s="326"/>
      <c r="E3" s="326"/>
      <c r="F3" s="327"/>
    </row>
    <row r="4" spans="1:12" ht="12.75" customHeight="1" x14ac:dyDescent="0.3">
      <c r="A4" s="196" t="s">
        <v>444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2" ht="12.75" customHeight="1" x14ac:dyDescent="0.3">
      <c r="A5" s="198" t="s">
        <v>495</v>
      </c>
      <c r="B5" s="279" t="s">
        <v>450</v>
      </c>
      <c r="C5" s="280" t="s">
        <v>451</v>
      </c>
      <c r="D5" s="199" t="s">
        <v>452</v>
      </c>
      <c r="E5" s="298"/>
      <c r="F5" s="228" t="s">
        <v>496</v>
      </c>
    </row>
    <row r="6" spans="1:12" ht="12.75" customHeight="1" x14ac:dyDescent="0.3">
      <c r="A6" s="204" t="s">
        <v>339</v>
      </c>
      <c r="B6" s="262">
        <v>1</v>
      </c>
      <c r="C6" s="263">
        <v>1.1000000000000001</v>
      </c>
      <c r="D6" s="211">
        <f t="shared" ref="D6:D17" si="0">B6*C6</f>
        <v>1.1000000000000001</v>
      </c>
      <c r="E6" s="298"/>
      <c r="F6" s="229" t="s">
        <v>497</v>
      </c>
      <c r="G6" s="230">
        <v>40</v>
      </c>
    </row>
    <row r="7" spans="1:12" ht="30.75" customHeight="1" x14ac:dyDescent="0.3">
      <c r="A7" s="204" t="s">
        <v>27</v>
      </c>
      <c r="B7" s="262">
        <v>1</v>
      </c>
      <c r="C7" s="263">
        <f>IF(ISNA(VLOOKUP(A7,'Listado de Artículos'!$B$8:$F$306,5,0)),0,VLOOKUP(A7,'Listado de Artículos'!$B$8:$F$306,5,0))</f>
        <v>1.44</v>
      </c>
      <c r="D7" s="211">
        <f t="shared" si="0"/>
        <v>1.44</v>
      </c>
      <c r="E7" s="231"/>
      <c r="F7" s="229" t="s">
        <v>498</v>
      </c>
      <c r="G7" s="230">
        <v>50</v>
      </c>
    </row>
    <row r="8" spans="1:12" ht="32.25" customHeight="1" x14ac:dyDescent="0.3">
      <c r="A8" s="204" t="s">
        <v>183</v>
      </c>
      <c r="B8" s="262">
        <v>0.03</v>
      </c>
      <c r="C8" s="263">
        <f>IF(ISNA(VLOOKUP(A8,'Listado de Artículos'!$B$16:$F$1328,5,0)),0,(VLOOKUP(A8,'Listado de Artículos'!$B$16:$F$1328,5,0)))</f>
        <v>12.5</v>
      </c>
      <c r="D8" s="211">
        <f t="shared" si="0"/>
        <v>0.375</v>
      </c>
      <c r="E8" s="232"/>
      <c r="F8" s="229" t="s">
        <v>499</v>
      </c>
      <c r="G8" s="230">
        <v>30</v>
      </c>
    </row>
    <row r="9" spans="1:12" ht="12.75" customHeight="1" x14ac:dyDescent="0.3">
      <c r="A9" s="204" t="s">
        <v>25</v>
      </c>
      <c r="B9" s="271">
        <v>1</v>
      </c>
      <c r="C9" s="263">
        <f>IF(ISNA(VLOOKUP(A9,'Listado de Artículos'!$B$16:$F$1328,5,0)),0,(VLOOKUP(A9,'Listado de Artículos'!$B$16:$F$1328,5,0)))</f>
        <v>0.18</v>
      </c>
      <c r="D9" s="181">
        <f t="shared" si="0"/>
        <v>0.18</v>
      </c>
      <c r="E9" s="299"/>
      <c r="F9" s="230" t="s">
        <v>500</v>
      </c>
      <c r="G9" s="230">
        <v>30</v>
      </c>
    </row>
    <row r="10" spans="1:12" ht="12.75" customHeight="1" x14ac:dyDescent="0.3">
      <c r="A10" s="204" t="s">
        <v>16</v>
      </c>
      <c r="B10" s="290">
        <v>1</v>
      </c>
      <c r="C10" s="263">
        <v>0.7</v>
      </c>
      <c r="D10" s="210">
        <f t="shared" si="0"/>
        <v>0.7</v>
      </c>
      <c r="E10" s="300"/>
      <c r="F10" s="229" t="s">
        <v>501</v>
      </c>
      <c r="G10" s="230">
        <v>30</v>
      </c>
    </row>
    <row r="11" spans="1:12" ht="12.75" customHeight="1" x14ac:dyDescent="0.3">
      <c r="A11" s="204" t="s">
        <v>37</v>
      </c>
      <c r="B11" s="262">
        <v>1</v>
      </c>
      <c r="C11" s="263">
        <v>0.55000000000000004</v>
      </c>
      <c r="D11" s="211">
        <f t="shared" si="0"/>
        <v>0.55000000000000004</v>
      </c>
      <c r="E11" s="298"/>
      <c r="F11" s="233" t="s">
        <v>502</v>
      </c>
      <c r="G11" s="233">
        <v>30</v>
      </c>
    </row>
    <row r="12" spans="1:12" ht="12.75" customHeight="1" x14ac:dyDescent="0.3">
      <c r="A12" s="204" t="s">
        <v>39</v>
      </c>
      <c r="B12" s="262">
        <v>1</v>
      </c>
      <c r="C12" s="263">
        <v>0.75</v>
      </c>
      <c r="D12" s="211">
        <f t="shared" si="0"/>
        <v>0.75</v>
      </c>
      <c r="E12" s="298"/>
      <c r="F12" s="234" t="s">
        <v>503</v>
      </c>
      <c r="G12" s="230">
        <v>20</v>
      </c>
    </row>
    <row r="13" spans="1:12" ht="12.75" customHeight="1" x14ac:dyDescent="0.3">
      <c r="A13" s="204" t="s">
        <v>21</v>
      </c>
      <c r="B13" s="262">
        <v>1</v>
      </c>
      <c r="C13" s="263">
        <f>IF(ISNA(VLOOKUP(A13,'Listado de Artículos'!$B$16:$F$1328,5,0)),0,(VLOOKUP(A13,'Listado de Artículos'!$B$16:$F$1328,5,0)))</f>
        <v>0.65</v>
      </c>
      <c r="D13" s="211">
        <f t="shared" si="0"/>
        <v>0.65</v>
      </c>
      <c r="E13" s="298"/>
      <c r="F13" s="229" t="s">
        <v>504</v>
      </c>
      <c r="G13" s="100">
        <v>30</v>
      </c>
    </row>
    <row r="14" spans="1:12" ht="12.75" customHeight="1" x14ac:dyDescent="0.3">
      <c r="A14" s="204" t="s">
        <v>19</v>
      </c>
      <c r="B14" s="262">
        <v>1</v>
      </c>
      <c r="C14" s="263">
        <f>IF(ISNA(VLOOKUP(A14,'Listado de Artículos'!$B$16:$F$1328,5,0)),0,(VLOOKUP(A14,'Listado de Artículos'!$B$16:$F$1328,5,0)))</f>
        <v>0.8</v>
      </c>
      <c r="D14" s="211">
        <f t="shared" si="0"/>
        <v>0.8</v>
      </c>
      <c r="E14" s="298"/>
      <c r="F14" s="235" t="s">
        <v>505</v>
      </c>
      <c r="G14" s="233"/>
    </row>
    <row r="15" spans="1:12" ht="12.75" customHeight="1" x14ac:dyDescent="0.3">
      <c r="A15" s="236" t="s">
        <v>31</v>
      </c>
      <c r="B15" s="262">
        <v>1</v>
      </c>
      <c r="C15" s="263">
        <f>IF(ISNA(VLOOKUP(A15,'Listado de Artículos'!$B$16:$F$1328,5,0)),0,(VLOOKUP(A15,'Listado de Artículos'!$B$16:$F$1328,5,0)))</f>
        <v>0.68</v>
      </c>
      <c r="D15" s="211">
        <f t="shared" si="0"/>
        <v>0.68</v>
      </c>
      <c r="E15" s="298"/>
      <c r="F15" s="230" t="s">
        <v>506</v>
      </c>
      <c r="G15" s="230">
        <v>30</v>
      </c>
    </row>
    <row r="16" spans="1:12" ht="12.75" customHeight="1" x14ac:dyDescent="0.3">
      <c r="A16" s="236" t="s">
        <v>8</v>
      </c>
      <c r="B16" s="262">
        <v>1</v>
      </c>
      <c r="C16" s="263">
        <v>0.6</v>
      </c>
      <c r="D16" s="211">
        <f t="shared" si="0"/>
        <v>0.6</v>
      </c>
      <c r="E16" s="298"/>
      <c r="F16" s="230" t="s">
        <v>507</v>
      </c>
      <c r="G16" s="230">
        <v>30</v>
      </c>
    </row>
    <row r="17" spans="1:8" ht="12.75" customHeight="1" x14ac:dyDescent="0.3">
      <c r="A17" s="236" t="s">
        <v>34</v>
      </c>
      <c r="B17" s="262">
        <v>1</v>
      </c>
      <c r="C17" s="263">
        <f>IF(ISNA(VLOOKUP(A17,'Listado de Artículos'!$B$16:$F$1328,5,0)),0,(VLOOKUP(A17,'Listado de Artículos'!$B$16:$F$1328,5,0)))</f>
        <v>1.48</v>
      </c>
      <c r="D17" s="211">
        <f t="shared" si="0"/>
        <v>1.48</v>
      </c>
      <c r="E17" s="298"/>
      <c r="F17" s="230" t="s">
        <v>508</v>
      </c>
      <c r="G17" s="230">
        <v>25</v>
      </c>
    </row>
    <row r="18" spans="1:8" ht="12.75" customHeight="1" x14ac:dyDescent="0.3">
      <c r="A18" s="200" t="s">
        <v>454</v>
      </c>
      <c r="B18" s="201"/>
      <c r="C18" s="202"/>
      <c r="D18" s="202"/>
      <c r="E18" s="237"/>
      <c r="F18" s="230" t="s">
        <v>509</v>
      </c>
      <c r="G18" s="230">
        <v>60</v>
      </c>
    </row>
    <row r="19" spans="1:8" ht="12.75" customHeight="1" x14ac:dyDescent="0.3">
      <c r="A19" s="204" t="s">
        <v>315</v>
      </c>
      <c r="B19" s="262">
        <v>1</v>
      </c>
      <c r="C19" s="263">
        <f>IF(ISNA(VLOOKUP(A19,'Listado de Artículos'!$B$16:$F$1328,5,0)),0,(VLOOKUP(A19,'Listado de Artículos'!$B$16:$F$1328,5,0)))</f>
        <v>3</v>
      </c>
      <c r="D19" s="211">
        <f>B19*C19</f>
        <v>3</v>
      </c>
      <c r="E19" s="298"/>
      <c r="F19" s="230" t="s">
        <v>510</v>
      </c>
      <c r="G19" s="230">
        <v>60</v>
      </c>
    </row>
    <row r="20" spans="1:8" ht="12.75" customHeight="1" x14ac:dyDescent="0.3">
      <c r="A20" s="200" t="s">
        <v>454</v>
      </c>
      <c r="B20" s="201"/>
      <c r="C20" s="202"/>
      <c r="D20" s="202"/>
      <c r="E20" s="237"/>
      <c r="F20" s="230" t="s">
        <v>508</v>
      </c>
      <c r="G20" s="230">
        <v>25</v>
      </c>
    </row>
    <row r="21" spans="1:8" ht="12.75" customHeight="1" x14ac:dyDescent="0.3">
      <c r="A21" s="204" t="s">
        <v>156</v>
      </c>
      <c r="B21" s="262">
        <v>0.25</v>
      </c>
      <c r="C21" s="263">
        <f>IF(ISNA(VLOOKUP(A21,'Listado de Artículos'!$B$16:$F$1328,5,0)),0,(VLOOKUP(A21,'Listado de Artículos'!$B$16:$F$1328,5,0)))</f>
        <v>0.9</v>
      </c>
      <c r="D21" s="211">
        <f t="shared" ref="D21:D28" si="1">B21*C21</f>
        <v>0.22500000000000001</v>
      </c>
      <c r="E21" s="298"/>
      <c r="F21" s="230" t="s">
        <v>509</v>
      </c>
      <c r="G21" s="230">
        <v>60</v>
      </c>
    </row>
    <row r="22" spans="1:8" ht="12.75" customHeight="1" x14ac:dyDescent="0.3">
      <c r="A22" s="204" t="s">
        <v>134</v>
      </c>
      <c r="B22" s="262">
        <v>0.2</v>
      </c>
      <c r="C22" s="263">
        <f>IF(ISNA(VLOOKUP(A22,'Listado de Artículos'!$B$16:$F$1328,5,0)),0,(VLOOKUP(A22,'Listado de Artículos'!$B$16:$F$1328,5,0)))</f>
        <v>0</v>
      </c>
      <c r="D22" s="211">
        <f t="shared" si="1"/>
        <v>0</v>
      </c>
      <c r="E22" s="298"/>
      <c r="F22" s="230" t="s">
        <v>510</v>
      </c>
      <c r="G22" s="230">
        <v>60</v>
      </c>
    </row>
    <row r="23" spans="1:8" ht="12.75" customHeight="1" x14ac:dyDescent="0.3">
      <c r="A23" s="204" t="s">
        <v>78</v>
      </c>
      <c r="B23" s="262">
        <v>1</v>
      </c>
      <c r="C23" s="263">
        <f>IF(ISNA(VLOOKUP(A23,'Listado de Artículos'!$B$16:$F$1328,5,0)),0,(VLOOKUP(A23,'Listado de Artículos'!$B$16:$F$1328,5,0)))</f>
        <v>7.95</v>
      </c>
      <c r="D23" s="211">
        <f t="shared" si="1"/>
        <v>7.95</v>
      </c>
      <c r="E23" s="298"/>
      <c r="F23" s="230"/>
      <c r="G23" s="230"/>
    </row>
    <row r="24" spans="1:8" ht="12.75" customHeight="1" x14ac:dyDescent="0.3">
      <c r="A24" s="204" t="s">
        <v>511</v>
      </c>
      <c r="B24" s="262">
        <v>2</v>
      </c>
      <c r="C24" s="263">
        <v>0.8</v>
      </c>
      <c r="D24" s="211">
        <f t="shared" si="1"/>
        <v>1.6</v>
      </c>
      <c r="E24" s="298"/>
      <c r="F24" s="233" t="s">
        <v>512</v>
      </c>
      <c r="G24" s="233">
        <v>100</v>
      </c>
    </row>
    <row r="25" spans="1:8" ht="12.75" customHeight="1" x14ac:dyDescent="0.3">
      <c r="A25" s="204" t="s">
        <v>229</v>
      </c>
      <c r="B25" s="262">
        <v>1</v>
      </c>
      <c r="C25" s="263">
        <f>IF(ISNA(VLOOKUP(A25,'Listado de Artículos'!$B$16:$F$1328,5,0)),0,(VLOOKUP(A25,'Listado de Artículos'!$B$16:$F$1328,5,0)))</f>
        <v>0.47</v>
      </c>
      <c r="D25" s="211">
        <f t="shared" si="1"/>
        <v>0.47</v>
      </c>
      <c r="E25" s="298"/>
      <c r="F25" s="238" t="s">
        <v>513</v>
      </c>
      <c r="G25" s="239">
        <f>SUM(G6:G24)</f>
        <v>710</v>
      </c>
    </row>
    <row r="26" spans="1:8" ht="12.75" customHeight="1" x14ac:dyDescent="0.3">
      <c r="A26" s="204" t="s">
        <v>48</v>
      </c>
      <c r="B26" s="262">
        <v>0.5</v>
      </c>
      <c r="C26" s="263">
        <f>IF(ISNA(VLOOKUP(A26,'Listado de Artículos'!$B$16:$F$1328,5,0)),0,(VLOOKUP(A26,'Listado de Artículos'!$B$16:$F$1328,5,0)))</f>
        <v>0.8</v>
      </c>
      <c r="D26" s="211">
        <f t="shared" si="1"/>
        <v>0.4</v>
      </c>
      <c r="E26" s="281"/>
    </row>
    <row r="27" spans="1:8" ht="12.75" customHeight="1" x14ac:dyDescent="0.3">
      <c r="A27" s="204" t="s">
        <v>272</v>
      </c>
      <c r="B27" s="262">
        <v>0.05</v>
      </c>
      <c r="C27" s="263">
        <f>IF(ISNA(VLOOKUP(A27,'Listado de Artículos'!$B$16:$F$1328,5,0)),0,(VLOOKUP(A27,'Listado de Artículos'!$B$16:$F$1328,5,0)))</f>
        <v>2.85</v>
      </c>
      <c r="D27" s="211">
        <f t="shared" si="1"/>
        <v>0.14250000000000002</v>
      </c>
      <c r="E27" s="281"/>
    </row>
    <row r="28" spans="1:8" ht="12.75" customHeight="1" x14ac:dyDescent="0.3">
      <c r="A28" s="204" t="s">
        <v>123</v>
      </c>
      <c r="B28" s="262">
        <v>1</v>
      </c>
      <c r="C28" s="263">
        <f>IF(ISNA(VLOOKUP(A28,'Listado de Artículos'!$B$16:$F$1328,5,0)),0,(VLOOKUP(A28,'Listado de Artículos'!$B$16:$F$1328,5,0)))</f>
        <v>0.65</v>
      </c>
      <c r="D28" s="211">
        <f t="shared" si="1"/>
        <v>0.65</v>
      </c>
      <c r="E28" s="281"/>
    </row>
    <row r="29" spans="1:8" ht="12.75" customHeight="1" x14ac:dyDescent="0.3">
      <c r="A29" s="226"/>
      <c r="B29" s="266"/>
      <c r="C29" s="267"/>
      <c r="D29" s="224"/>
      <c r="E29" s="281"/>
    </row>
    <row r="30" spans="1:8" ht="12.75" customHeight="1" x14ac:dyDescent="0.3">
      <c r="A30" s="205" t="s">
        <v>455</v>
      </c>
      <c r="B30" s="286">
        <v>55</v>
      </c>
      <c r="C30" s="287">
        <f>+B30-(B30*0.1)</f>
        <v>49.5</v>
      </c>
      <c r="D30" s="288">
        <f>SUM(D6:D28)</f>
        <v>23.742499999999996</v>
      </c>
      <c r="E30" s="289">
        <f>(D30*100/C30)/100</f>
        <v>0.47964646464646454</v>
      </c>
      <c r="F30" s="206"/>
      <c r="G30" s="206"/>
      <c r="H30" s="206"/>
    </row>
    <row r="31" spans="1:8" ht="12.75" customHeight="1" x14ac:dyDescent="0.25"/>
    <row r="32" spans="1:8" ht="12.75" customHeight="1" x14ac:dyDescent="0.25"/>
    <row r="33" spans="1:6" ht="12.75" customHeight="1" x14ac:dyDescent="0.25">
      <c r="A33" s="322" t="s">
        <v>514</v>
      </c>
      <c r="B33" s="323"/>
      <c r="C33" s="323"/>
      <c r="D33" s="323"/>
      <c r="E33" s="323"/>
      <c r="F33" s="324"/>
    </row>
    <row r="34" spans="1:6" ht="12.75" customHeight="1" x14ac:dyDescent="0.25">
      <c r="A34" s="325"/>
      <c r="B34" s="326"/>
      <c r="C34" s="326"/>
      <c r="D34" s="326"/>
      <c r="E34" s="326"/>
      <c r="F34" s="327"/>
    </row>
    <row r="35" spans="1:6" ht="12.75" customHeight="1" x14ac:dyDescent="0.3">
      <c r="A35" s="196" t="s">
        <v>515</v>
      </c>
      <c r="B35" s="197" t="s">
        <v>445</v>
      </c>
      <c r="C35" s="197" t="s">
        <v>446</v>
      </c>
      <c r="D35" s="197" t="s">
        <v>447</v>
      </c>
      <c r="E35" s="197" t="s">
        <v>448</v>
      </c>
    </row>
    <row r="36" spans="1:6" ht="12.75" customHeight="1" x14ac:dyDescent="0.3">
      <c r="A36" s="198"/>
      <c r="B36" s="279" t="s">
        <v>450</v>
      </c>
      <c r="C36" s="280" t="s">
        <v>451</v>
      </c>
      <c r="D36" s="199" t="s">
        <v>452</v>
      </c>
      <c r="E36" s="281"/>
    </row>
    <row r="37" spans="1:6" ht="12.75" customHeight="1" x14ac:dyDescent="0.3">
      <c r="A37" s="204" t="s">
        <v>281</v>
      </c>
      <c r="B37" s="262">
        <v>1</v>
      </c>
      <c r="C37" s="263">
        <f>IF(ISNA(VLOOKUP(A37,'Listado de Artículos'!$B$16:$F$1328,5,0)),0,(VLOOKUP(A37,'Listado de Artículos'!$B$16:$F$1328,5,0)))</f>
        <v>5.27</v>
      </c>
      <c r="D37" s="211">
        <f t="shared" ref="D37:D44" si="2">B37*C37</f>
        <v>5.27</v>
      </c>
      <c r="E37" s="281"/>
    </row>
    <row r="38" spans="1:6" ht="12.75" customHeight="1" x14ac:dyDescent="0.3">
      <c r="A38" s="204" t="s">
        <v>295</v>
      </c>
      <c r="B38" s="262">
        <v>7.4999999999999997E-2</v>
      </c>
      <c r="C38" s="263">
        <f>IF(ISNA(VLOOKUP(A38,'Listado de Artículos'!$B$16:$F$1328,5,0)),0,(VLOOKUP(A38,'Listado de Artículos'!$B$16:$F$1328,5,0)))</f>
        <v>6.9</v>
      </c>
      <c r="D38" s="211">
        <f t="shared" si="2"/>
        <v>0.51749999999999996</v>
      </c>
      <c r="E38" s="281"/>
    </row>
    <row r="39" spans="1:6" ht="12.75" customHeight="1" x14ac:dyDescent="0.3">
      <c r="A39" s="204" t="s">
        <v>299</v>
      </c>
      <c r="B39" s="262">
        <v>0.15</v>
      </c>
      <c r="C39" s="263">
        <f>IF(ISNA(VLOOKUP(A39,'Listado de Artículos'!$B$16:$F$1328,5,0)),0,(VLOOKUP(A39,'Listado de Artículos'!$B$16:$F$1328,5,0)))</f>
        <v>2.88</v>
      </c>
      <c r="D39" s="211">
        <f t="shared" si="2"/>
        <v>0.432</v>
      </c>
      <c r="E39" s="281"/>
    </row>
    <row r="40" spans="1:6" ht="12.75" customHeight="1" x14ac:dyDescent="0.3">
      <c r="A40" s="204" t="s">
        <v>105</v>
      </c>
      <c r="B40" s="262">
        <v>0.09</v>
      </c>
      <c r="C40" s="263">
        <f>IF(ISNA(VLOOKUP(A40,'Listado de Artículos'!$B$16:$F$1328,5,0)),0,(VLOOKUP(A40,'Listado de Artículos'!$B$16:$F$1328,5,0)))</f>
        <v>6.15</v>
      </c>
      <c r="D40" s="211">
        <f t="shared" si="2"/>
        <v>0.55349999999999999</v>
      </c>
      <c r="E40" s="203"/>
    </row>
    <row r="41" spans="1:6" ht="12.75" customHeight="1" x14ac:dyDescent="0.3">
      <c r="A41" s="204" t="s">
        <v>320</v>
      </c>
      <c r="B41" s="262">
        <v>0.03</v>
      </c>
      <c r="C41" s="263">
        <f>IF(ISNA(VLOOKUP(A41,'Listado de Artículos'!$B$16:$F$1328,5,0)),0,(VLOOKUP(A41,'Listado de Artículos'!$B$16:$F$1328,5,0)))</f>
        <v>3.85</v>
      </c>
      <c r="D41" s="211">
        <f t="shared" si="2"/>
        <v>0.11549999999999999</v>
      </c>
      <c r="E41" s="281"/>
    </row>
    <row r="42" spans="1:6" ht="12.75" customHeight="1" x14ac:dyDescent="0.3">
      <c r="A42" s="204" t="s">
        <v>516</v>
      </c>
      <c r="B42" s="262">
        <v>1</v>
      </c>
      <c r="C42" s="263">
        <f>IF(ISNA(VLOOKUP(A42,'Listado de Artículos'!$B$16:$F$1328,5,0)),0,(VLOOKUP(A42,'Listado de Artículos'!$B$16:$F$1328,5,0)))</f>
        <v>0</v>
      </c>
      <c r="D42" s="211">
        <f t="shared" si="2"/>
        <v>0</v>
      </c>
      <c r="E42" s="281"/>
    </row>
    <row r="43" spans="1:6" ht="12.75" customHeight="1" x14ac:dyDescent="0.3">
      <c r="A43" s="204" t="s">
        <v>230</v>
      </c>
      <c r="B43" s="262">
        <v>1</v>
      </c>
      <c r="C43" s="263">
        <f>IF(ISNA(VLOOKUP(A43,'Listado de Artículos'!$B$16:$F$1328,5,0)),0,(VLOOKUP(A43,'Listado de Artículos'!$B$16:$F$1328,5,0)))</f>
        <v>0.54</v>
      </c>
      <c r="D43" s="211">
        <f t="shared" si="2"/>
        <v>0.54</v>
      </c>
      <c r="E43" s="281"/>
    </row>
    <row r="44" spans="1:6" ht="12.75" customHeight="1" x14ac:dyDescent="0.3">
      <c r="A44" s="204" t="s">
        <v>279</v>
      </c>
      <c r="B44" s="262">
        <v>1</v>
      </c>
      <c r="C44" s="263">
        <f>IF(ISNA(VLOOKUP(A44,'Listado de Artículos'!$B$16:$F$1328,5,0)),0,(VLOOKUP(A44,'Listado de Artículos'!$B$16:$F$1328,5,0)))</f>
        <v>2.33</v>
      </c>
      <c r="D44" s="211">
        <f t="shared" si="2"/>
        <v>2.33</v>
      </c>
      <c r="E44" s="281"/>
    </row>
    <row r="45" spans="1:6" ht="12.75" customHeight="1" x14ac:dyDescent="0.3">
      <c r="A45" s="200" t="s">
        <v>454</v>
      </c>
      <c r="B45" s="201"/>
      <c r="C45" s="202"/>
      <c r="D45" s="202"/>
      <c r="E45" s="203"/>
    </row>
    <row r="46" spans="1:6" ht="12.75" customHeight="1" x14ac:dyDescent="0.3">
      <c r="A46" s="204" t="s">
        <v>179</v>
      </c>
      <c r="B46" s="262">
        <v>0.5</v>
      </c>
      <c r="C46" s="263">
        <f>IF(ISNA(VLOOKUP(A46,'Listado de Artículos'!$B$16:$F$1328,5,0)),0,(VLOOKUP(A46,'Listado de Artículos'!$B$16:$F$1328,5,0)))</f>
        <v>0.5</v>
      </c>
      <c r="D46" s="211">
        <f>B46*C46</f>
        <v>0.25</v>
      </c>
      <c r="E46" s="281"/>
    </row>
    <row r="47" spans="1:6" ht="12.75" customHeight="1" x14ac:dyDescent="0.3">
      <c r="A47" s="200" t="s">
        <v>517</v>
      </c>
      <c r="B47" s="201"/>
      <c r="C47" s="202"/>
      <c r="D47" s="202"/>
      <c r="E47" s="203"/>
    </row>
    <row r="48" spans="1:6" ht="12.75" customHeight="1" x14ac:dyDescent="0.3">
      <c r="A48" s="204" t="s">
        <v>156</v>
      </c>
      <c r="B48" s="262">
        <v>0.25</v>
      </c>
      <c r="C48" s="263">
        <f>IF(ISNA(VLOOKUP(A48,'Listado de Artículos'!$B$16:$F$1328,5,0)),0,(VLOOKUP(A48,'Listado de Artículos'!$B$16:$F$1328,5,0)))</f>
        <v>0.9</v>
      </c>
      <c r="D48" s="211">
        <f>B48*C48</f>
        <v>0.22500000000000001</v>
      </c>
      <c r="E48" s="281"/>
    </row>
    <row r="49" spans="1:8" ht="12.75" customHeight="1" x14ac:dyDescent="0.3">
      <c r="A49" s="204" t="s">
        <v>48</v>
      </c>
      <c r="B49" s="262">
        <v>0.3</v>
      </c>
      <c r="C49" s="263">
        <f>IF(ISNA(VLOOKUP(A49,'Listado de Artículos'!$B$16:$F$1328,5,0)),0,(VLOOKUP(A49,'Listado de Artículos'!$B$16:$F$1328,5,0)))</f>
        <v>0.8</v>
      </c>
      <c r="D49" s="211">
        <f>B49*C49</f>
        <v>0.24</v>
      </c>
      <c r="E49" s="281"/>
    </row>
    <row r="50" spans="1:8" ht="12.75" customHeight="1" x14ac:dyDescent="0.3">
      <c r="A50" s="204" t="s">
        <v>123</v>
      </c>
      <c r="B50" s="262">
        <v>1</v>
      </c>
      <c r="C50" s="263">
        <f>IF(ISNA(VLOOKUP(A50,'Listado de Artículos'!$B$16:$F$1328,5,0)),0,(VLOOKUP(A50,'Listado de Artículos'!$B$16:$F$1328,5,0)))</f>
        <v>0.65</v>
      </c>
      <c r="D50" s="211">
        <f>B50*C50</f>
        <v>0.65</v>
      </c>
      <c r="E50" s="281"/>
    </row>
    <row r="51" spans="1:8" ht="12.75" customHeight="1" x14ac:dyDescent="0.3">
      <c r="A51" s="226"/>
      <c r="B51" s="266"/>
      <c r="C51" s="267"/>
      <c r="D51" s="224"/>
      <c r="E51" s="281"/>
    </row>
    <row r="52" spans="1:8" ht="12.75" customHeight="1" x14ac:dyDescent="0.3">
      <c r="A52" s="205" t="s">
        <v>455</v>
      </c>
      <c r="B52" s="286">
        <v>20</v>
      </c>
      <c r="C52" s="287">
        <f>+B52-(B52*0.1)</f>
        <v>18</v>
      </c>
      <c r="D52" s="288">
        <f>SUM(D37:D50)</f>
        <v>11.1235</v>
      </c>
      <c r="E52" s="289">
        <f>(D52*100/C52)/100</f>
        <v>0.61797222222222215</v>
      </c>
      <c r="F52" s="206"/>
      <c r="G52" s="206"/>
      <c r="H52" s="206"/>
    </row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>
      <c r="A57" s="240" t="s">
        <v>518</v>
      </c>
      <c r="B57" s="230"/>
    </row>
    <row r="58" spans="1:8" ht="12.75" customHeight="1" x14ac:dyDescent="0.25">
      <c r="A58" s="241" t="s">
        <v>519</v>
      </c>
      <c r="B58" s="242" t="s">
        <v>520</v>
      </c>
    </row>
    <row r="59" spans="1:8" ht="12.75" customHeight="1" x14ac:dyDescent="0.25">
      <c r="A59" s="243" t="s">
        <v>521</v>
      </c>
      <c r="B59" s="230"/>
    </row>
    <row r="60" spans="1:8" ht="12.75" customHeight="1" x14ac:dyDescent="0.25">
      <c r="A60" s="244" t="s">
        <v>522</v>
      </c>
      <c r="B60" s="229" t="s">
        <v>523</v>
      </c>
    </row>
    <row r="61" spans="1:8" ht="12.75" customHeight="1" x14ac:dyDescent="0.25">
      <c r="A61" s="244" t="s">
        <v>524</v>
      </c>
      <c r="B61" s="230" t="s">
        <v>525</v>
      </c>
    </row>
    <row r="62" spans="1:8" ht="12.75" customHeight="1" x14ac:dyDescent="0.25">
      <c r="A62" s="62" t="s">
        <v>526</v>
      </c>
      <c r="B62" s="230" t="s">
        <v>527</v>
      </c>
    </row>
    <row r="63" spans="1:8" ht="12.75" customHeight="1" x14ac:dyDescent="0.25">
      <c r="A63" s="244" t="s">
        <v>528</v>
      </c>
      <c r="B63" s="230" t="s">
        <v>529</v>
      </c>
    </row>
    <row r="64" spans="1:8" ht="12.75" customHeight="1" x14ac:dyDescent="0.25">
      <c r="A64" s="245" t="s">
        <v>530</v>
      </c>
      <c r="B64" s="230" t="s">
        <v>531</v>
      </c>
    </row>
    <row r="65" spans="1:2" ht="12.75" customHeight="1" x14ac:dyDescent="0.25">
      <c r="A65" s="234" t="s">
        <v>532</v>
      </c>
      <c r="B65" s="230" t="s">
        <v>533</v>
      </c>
    </row>
    <row r="66" spans="1:2" ht="12.75" customHeight="1" x14ac:dyDescent="0.25">
      <c r="A66" s="246"/>
      <c r="B66" s="246"/>
    </row>
    <row r="67" spans="1:2" ht="12.75" customHeight="1" x14ac:dyDescent="0.25">
      <c r="A67" s="247" t="s">
        <v>534</v>
      </c>
      <c r="B67" s="242" t="s">
        <v>535</v>
      </c>
    </row>
    <row r="68" spans="1:2" ht="12.75" customHeight="1" x14ac:dyDescent="0.25">
      <c r="A68" s="248" t="s">
        <v>536</v>
      </c>
      <c r="B68" s="230"/>
    </row>
    <row r="69" spans="1:2" ht="12.75" customHeight="1" x14ac:dyDescent="0.25">
      <c r="A69" s="230" t="s">
        <v>537</v>
      </c>
      <c r="B69" s="229" t="s">
        <v>523</v>
      </c>
    </row>
    <row r="70" spans="1:2" ht="12.75" customHeight="1" x14ac:dyDescent="0.25">
      <c r="A70" s="230" t="s">
        <v>538</v>
      </c>
      <c r="B70" s="230" t="s">
        <v>539</v>
      </c>
    </row>
    <row r="71" spans="1:2" ht="12.75" customHeight="1" x14ac:dyDescent="0.25">
      <c r="A71" s="230" t="s">
        <v>540</v>
      </c>
      <c r="B71" s="230" t="s">
        <v>541</v>
      </c>
    </row>
    <row r="72" spans="1:2" ht="12.75" customHeight="1" x14ac:dyDescent="0.25">
      <c r="A72" s="230" t="s">
        <v>542</v>
      </c>
      <c r="B72" s="230" t="s">
        <v>543</v>
      </c>
    </row>
    <row r="73" spans="1:2" ht="12.75" customHeight="1" x14ac:dyDescent="0.25">
      <c r="A73" s="230" t="s">
        <v>544</v>
      </c>
      <c r="B73" s="230" t="s">
        <v>531</v>
      </c>
    </row>
    <row r="74" spans="1:2" ht="12.75" customHeight="1" x14ac:dyDescent="0.25">
      <c r="A74" s="249"/>
      <c r="B74" s="230" t="s">
        <v>533</v>
      </c>
    </row>
    <row r="75" spans="1:2" ht="12.75" customHeight="1" x14ac:dyDescent="0.25">
      <c r="A75" s="247" t="s">
        <v>545</v>
      </c>
      <c r="B75" s="246"/>
    </row>
    <row r="76" spans="1:2" ht="12.75" customHeight="1" x14ac:dyDescent="0.25">
      <c r="A76" s="230"/>
    </row>
    <row r="77" spans="1:2" ht="12.75" customHeight="1" x14ac:dyDescent="0.25">
      <c r="A77" s="230" t="s">
        <v>512</v>
      </c>
    </row>
    <row r="78" spans="1:2" ht="12.75" customHeight="1" x14ac:dyDescent="0.25">
      <c r="A78" s="250"/>
    </row>
    <row r="79" spans="1:2" ht="12.75" customHeight="1" x14ac:dyDescent="0.25">
      <c r="A79" s="247" t="s">
        <v>546</v>
      </c>
    </row>
    <row r="80" spans="1:2" ht="12.75" customHeight="1" x14ac:dyDescent="0.25">
      <c r="A80" s="230" t="s">
        <v>547</v>
      </c>
    </row>
    <row r="81" spans="1:1" ht="12.75" customHeight="1" x14ac:dyDescent="0.25">
      <c r="A81" s="233" t="s">
        <v>548</v>
      </c>
    </row>
    <row r="82" spans="1:1" ht="12.75" customHeight="1" x14ac:dyDescent="0.25">
      <c r="A82" s="230" t="s">
        <v>549</v>
      </c>
    </row>
    <row r="83" spans="1:1" ht="12.75" customHeight="1" x14ac:dyDescent="0.25">
      <c r="A83" s="233" t="s">
        <v>550</v>
      </c>
    </row>
    <row r="84" spans="1:1" ht="12.75" customHeight="1" x14ac:dyDescent="0.25">
      <c r="A84" s="230" t="s">
        <v>551</v>
      </c>
    </row>
    <row r="85" spans="1:1" ht="12.75" customHeight="1" x14ac:dyDescent="0.25">
      <c r="A85" s="230"/>
    </row>
    <row r="86" spans="1:1" ht="12.75" customHeight="1" x14ac:dyDescent="0.25">
      <c r="A86" s="251"/>
    </row>
    <row r="87" spans="1:1" ht="12.75" customHeight="1" x14ac:dyDescent="0.25"/>
    <row r="88" spans="1:1" ht="12.75" customHeight="1" x14ac:dyDescent="0.25"/>
    <row r="89" spans="1:1" ht="12.75" customHeight="1" x14ac:dyDescent="0.25"/>
    <row r="90" spans="1:1" ht="12.75" customHeight="1" x14ac:dyDescent="0.25">
      <c r="A90" s="252" t="s">
        <v>552</v>
      </c>
    </row>
    <row r="91" spans="1:1" ht="12.75" customHeight="1" x14ac:dyDescent="0.25">
      <c r="A91" s="247" t="s">
        <v>553</v>
      </c>
    </row>
    <row r="92" spans="1:1" ht="12.75" customHeight="1" x14ac:dyDescent="0.25">
      <c r="A92" s="253" t="s">
        <v>554</v>
      </c>
    </row>
    <row r="93" spans="1:1" ht="12.75" customHeight="1" x14ac:dyDescent="0.25">
      <c r="A93" s="253" t="s">
        <v>555</v>
      </c>
    </row>
    <row r="94" spans="1:1" ht="12.75" customHeight="1" x14ac:dyDescent="0.25">
      <c r="A94" s="229" t="s">
        <v>556</v>
      </c>
    </row>
    <row r="95" spans="1:1" ht="12.75" customHeight="1" x14ac:dyDescent="0.25">
      <c r="A95" s="229" t="s">
        <v>557</v>
      </c>
    </row>
    <row r="96" spans="1:1" ht="12.75" customHeight="1" x14ac:dyDescent="0.25">
      <c r="A96" s="229" t="s">
        <v>558</v>
      </c>
    </row>
    <row r="97" spans="1:1" ht="12.75" customHeight="1" x14ac:dyDescent="0.25">
      <c r="A97" s="230" t="s">
        <v>559</v>
      </c>
    </row>
    <row r="98" spans="1:1" ht="12.75" customHeight="1" x14ac:dyDescent="0.25">
      <c r="A98" s="229" t="s">
        <v>560</v>
      </c>
    </row>
    <row r="99" spans="1:1" ht="12.75" customHeight="1" x14ac:dyDescent="0.25">
      <c r="A99" s="233" t="s">
        <v>551</v>
      </c>
    </row>
    <row r="100" spans="1:1" ht="12.75" customHeight="1" x14ac:dyDescent="0.25">
      <c r="A100" s="233" t="s">
        <v>548</v>
      </c>
    </row>
    <row r="101" spans="1:1" ht="12.75" customHeight="1" x14ac:dyDescent="0.25">
      <c r="A101" s="230" t="s">
        <v>549</v>
      </c>
    </row>
    <row r="102" spans="1:1" ht="12.75" customHeight="1" x14ac:dyDescent="0.25">
      <c r="A102" s="230"/>
    </row>
    <row r="103" spans="1:1" ht="12.75" customHeight="1" x14ac:dyDescent="0.25">
      <c r="A103" s="251"/>
    </row>
    <row r="104" spans="1:1" ht="12.75" customHeight="1" x14ac:dyDescent="0.25"/>
    <row r="105" spans="1:1" ht="12.75" customHeight="1" x14ac:dyDescent="0.25"/>
    <row r="106" spans="1:1" ht="12.75" customHeight="1" x14ac:dyDescent="0.25"/>
    <row r="107" spans="1:1" ht="12.75" customHeight="1" x14ac:dyDescent="0.25"/>
    <row r="108" spans="1:1" ht="12.75" customHeight="1" x14ac:dyDescent="0.25"/>
    <row r="109" spans="1:1" ht="12.75" customHeight="1" x14ac:dyDescent="0.25"/>
    <row r="110" spans="1:1" ht="12.75" customHeight="1" x14ac:dyDescent="0.25"/>
    <row r="111" spans="1:1" ht="12.75" customHeight="1" x14ac:dyDescent="0.25"/>
    <row r="112" spans="1:1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">
    <mergeCell ref="A33:F34"/>
    <mergeCell ref="A2:F3"/>
  </mergeCells>
  <conditionalFormatting sqref="C30">
    <cfRule type="cellIs" dxfId="22" priority="1" stopIfTrue="1" operator="lessThan">
      <formula>0</formula>
    </cfRule>
  </conditionalFormatting>
  <conditionalFormatting sqref="C52">
    <cfRule type="cellIs" dxfId="21" priority="2" stopIfTrue="1" operator="lessThan">
      <formula>0</formula>
    </cfRule>
  </conditionalFormatting>
  <dataValidations count="1">
    <dataValidation type="list" allowBlank="1" showErrorMessage="1" sqref="A5:A17 A19 A21:A29 A36:A44 A46 A48:A51">
      <formula1>Articulo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0"/>
  <sheetViews>
    <sheetView workbookViewId="0"/>
  </sheetViews>
  <sheetFormatPr baseColWidth="10" defaultColWidth="12.6640625" defaultRowHeight="15" customHeight="1" x14ac:dyDescent="0.25"/>
  <cols>
    <col min="1" max="1" width="22.109375" style="302" customWidth="1"/>
    <col min="2" max="26" width="8.6640625" style="302" customWidth="1"/>
  </cols>
  <sheetData>
    <row r="1" spans="1:13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4"/>
    </row>
    <row r="2" spans="1:13" ht="12.75" customHeight="1" x14ac:dyDescent="0.25">
      <c r="A2" s="322" t="s">
        <v>471</v>
      </c>
      <c r="B2" s="323"/>
      <c r="C2" s="323"/>
      <c r="D2" s="323"/>
      <c r="E2" s="323"/>
      <c r="F2" s="324"/>
      <c r="G2" s="254"/>
    </row>
    <row r="3" spans="1:13" ht="12.75" customHeight="1" x14ac:dyDescent="0.25">
      <c r="A3" s="325"/>
      <c r="B3" s="326"/>
      <c r="C3" s="326"/>
      <c r="D3" s="326"/>
      <c r="E3" s="326"/>
      <c r="F3" s="327"/>
      <c r="G3" s="254"/>
    </row>
    <row r="4" spans="1:13" ht="12.75" customHeight="1" x14ac:dyDescent="0.3">
      <c r="A4" s="196" t="s">
        <v>444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3" ht="12.75" customHeight="1" x14ac:dyDescent="0.3">
      <c r="A5" s="198" t="s">
        <v>449</v>
      </c>
      <c r="B5" s="279" t="s">
        <v>450</v>
      </c>
      <c r="C5" s="280" t="s">
        <v>451</v>
      </c>
      <c r="D5" s="199" t="s">
        <v>452</v>
      </c>
      <c r="E5" s="281"/>
    </row>
    <row r="6" spans="1:13" ht="12.75" customHeight="1" x14ac:dyDescent="0.3">
      <c r="A6" s="204" t="s">
        <v>449</v>
      </c>
      <c r="B6" s="262">
        <v>1</v>
      </c>
      <c r="C6" s="263">
        <f>IF(ISNA(VLOOKUP(A6,'Listado de Artículos'!$B$16:$F$1328,5,0)),0,(VLOOKUP(A6,'Listado de Artículos'!$B$16:$F$1328,5,0)))</f>
        <v>0</v>
      </c>
      <c r="D6" s="211">
        <f>B6*C6</f>
        <v>0</v>
      </c>
      <c r="E6" s="281"/>
    </row>
    <row r="7" spans="1:13" ht="12.75" customHeight="1" x14ac:dyDescent="0.3">
      <c r="A7" s="204" t="s">
        <v>229</v>
      </c>
      <c r="B7" s="262">
        <v>1</v>
      </c>
      <c r="C7" s="263">
        <f>IF(ISNA(VLOOKUP(A7,'Listado de Artículos'!$B$16:$F$1328,5,0)),0,(VLOOKUP(A7,'Listado de Artículos'!$B$16:$F$1328,5,0)))</f>
        <v>0.47</v>
      </c>
      <c r="D7" s="211">
        <f>B7*C7</f>
        <v>0.47</v>
      </c>
      <c r="E7" s="281"/>
    </row>
    <row r="8" spans="1:13" ht="12.75" customHeight="1" x14ac:dyDescent="0.3">
      <c r="A8" s="204" t="s">
        <v>48</v>
      </c>
      <c r="B8" s="262">
        <v>0.25</v>
      </c>
      <c r="C8" s="263">
        <f>IF(ISNA(VLOOKUP(A8,'Listado de Artículos'!$B$16:$F$1328,5,0)),0,(VLOOKUP(A8,'Listado de Artículos'!$B$16:$F$1328,5,0)))</f>
        <v>0.8</v>
      </c>
      <c r="D8" s="211">
        <f>B8*C8</f>
        <v>0.2</v>
      </c>
      <c r="E8" s="281"/>
    </row>
    <row r="9" spans="1:13" ht="12.75" customHeight="1" x14ac:dyDescent="0.3">
      <c r="A9" s="204" t="s">
        <v>331</v>
      </c>
      <c r="B9" s="271">
        <v>0.35</v>
      </c>
      <c r="C9" s="272">
        <f>IF(ISNA(VLOOKUP(A9,'Listado de Artículos'!$B$16:$F$1328,5,0)),0,(VLOOKUP(A9,'Listado de Artículos'!$B$16:$F$1328,5,0)))</f>
        <v>1.77</v>
      </c>
      <c r="D9" s="181">
        <f>B9*C9</f>
        <v>0.61949999999999994</v>
      </c>
      <c r="E9" s="282"/>
    </row>
    <row r="10" spans="1:13" ht="12.75" customHeight="1" x14ac:dyDescent="0.3">
      <c r="A10" s="200" t="s">
        <v>472</v>
      </c>
      <c r="B10" s="201"/>
      <c r="C10" s="202"/>
      <c r="D10" s="202"/>
      <c r="E10" s="203"/>
    </row>
    <row r="11" spans="1:13" ht="12.75" customHeight="1" x14ac:dyDescent="0.3">
      <c r="A11" s="204" t="s">
        <v>119</v>
      </c>
      <c r="B11" s="290">
        <v>15</v>
      </c>
      <c r="C11" s="291">
        <f>IF(ISNA(VLOOKUP(A11,'Listado de Artículos'!$B$16:$F$1328,5,0)),0,(VLOOKUP(A11,'Listado de Artículos'!$B$16:$F$1328,5,0)))</f>
        <v>0.16</v>
      </c>
      <c r="D11" s="210">
        <f>B11*C11</f>
        <v>2.4</v>
      </c>
      <c r="E11" s="292"/>
    </row>
    <row r="12" spans="1:13" ht="12.75" customHeight="1" x14ac:dyDescent="0.3">
      <c r="A12" s="204" t="s">
        <v>324</v>
      </c>
      <c r="B12" s="262">
        <v>0.125</v>
      </c>
      <c r="C12" s="263">
        <f>IF(ISNA(VLOOKUP(A12,'Listado de Artículos'!$B$16:$F$1328,5,0)),0,(VLOOKUP(A12,'Listado de Artículos'!$B$16:$F$1328,5,0)))</f>
        <v>2.94</v>
      </c>
      <c r="D12" s="211">
        <f>B12*C12</f>
        <v>0.36749999999999999</v>
      </c>
      <c r="E12" s="281"/>
    </row>
    <row r="13" spans="1:13" ht="12.75" customHeight="1" x14ac:dyDescent="0.3">
      <c r="A13" s="200" t="s">
        <v>453</v>
      </c>
      <c r="B13" s="201"/>
      <c r="C13" s="202"/>
      <c r="D13" s="202"/>
      <c r="E13" s="203"/>
      <c r="F13" s="225" t="s">
        <v>561</v>
      </c>
    </row>
    <row r="14" spans="1:13" ht="12.75" customHeight="1" x14ac:dyDescent="0.3">
      <c r="A14" s="204" t="s">
        <v>516</v>
      </c>
      <c r="B14" s="262">
        <v>1</v>
      </c>
      <c r="C14" s="263">
        <f>IF(ISNA(VLOOKUP(A14,'Listado de Artículos'!$B$16:$F$1328,5,0)),0,(VLOOKUP(A14,'Listado de Artículos'!$B$16:$F$1328,5,0)))</f>
        <v>0</v>
      </c>
      <c r="D14" s="211">
        <f>B14*C14</f>
        <v>0</v>
      </c>
      <c r="E14" s="281"/>
    </row>
    <row r="15" spans="1:13" ht="12.75" customHeight="1" x14ac:dyDescent="0.3">
      <c r="A15" s="204" t="s">
        <v>230</v>
      </c>
      <c r="B15" s="262">
        <v>1</v>
      </c>
      <c r="C15" s="263">
        <f>IF(ISNA(VLOOKUP(A15,'Listado de Artículos'!$B$16:$F$1328,5,0)),0,(VLOOKUP(A15,'Listado de Artículos'!$B$16:$F$1328,5,0)))</f>
        <v>0.54</v>
      </c>
      <c r="D15" s="211">
        <f>B15*C15</f>
        <v>0.54</v>
      </c>
      <c r="E15" s="281"/>
    </row>
    <row r="16" spans="1:13" ht="12.75" customHeight="1" x14ac:dyDescent="0.3">
      <c r="A16" s="204" t="s">
        <v>223</v>
      </c>
      <c r="B16" s="262">
        <v>1</v>
      </c>
      <c r="C16" s="263">
        <f>IF(ISNA(VLOOKUP(A16,'Listado de Artículos'!$B$16:$F$1328,5,0)),0,(VLOOKUP(A16,'Listado de Artículos'!$B$16:$F$1328,5,0)))</f>
        <v>0.84</v>
      </c>
      <c r="D16" s="211">
        <f>B16*C16</f>
        <v>0.84</v>
      </c>
      <c r="E16" s="281"/>
    </row>
    <row r="17" spans="1:9" ht="12.75" customHeight="1" x14ac:dyDescent="0.3">
      <c r="A17" s="204" t="s">
        <v>320</v>
      </c>
      <c r="B17" s="262">
        <v>0.03</v>
      </c>
      <c r="C17" s="263">
        <f>IF(ISNA(VLOOKUP(A17,'Listado de Artículos'!$B$16:$F$1328,5,0)),0,(VLOOKUP(A17,'Listado de Artículos'!$B$16:$F$1328,5,0)))</f>
        <v>3.85</v>
      </c>
      <c r="D17" s="211">
        <f>B17*C17</f>
        <v>0.11549999999999999</v>
      </c>
      <c r="E17" s="281"/>
    </row>
    <row r="18" spans="1:9" ht="12.75" customHeight="1" x14ac:dyDescent="0.3">
      <c r="A18" s="200" t="s">
        <v>473</v>
      </c>
      <c r="B18" s="201"/>
      <c r="C18" s="202"/>
      <c r="D18" s="202"/>
      <c r="E18" s="203"/>
      <c r="F18" s="255" t="s">
        <v>562</v>
      </c>
    </row>
    <row r="19" spans="1:9" ht="12.75" customHeight="1" x14ac:dyDescent="0.3">
      <c r="A19" s="204" t="s">
        <v>225</v>
      </c>
      <c r="B19" s="262">
        <v>1</v>
      </c>
      <c r="C19" s="263">
        <f>IF(ISNA(VLOOKUP(A19,'Listado de Artículos'!$B$16:$F$1328,5,0)),0,(VLOOKUP(A19,'Listado de Artículos'!$B$16:$F$1328,5,0)))</f>
        <v>2.8824000000000005</v>
      </c>
      <c r="D19" s="211">
        <f>B19*C19</f>
        <v>2.8824000000000005</v>
      </c>
      <c r="E19" s="281"/>
      <c r="F19" s="225" t="s">
        <v>563</v>
      </c>
    </row>
    <row r="20" spans="1:9" ht="12.75" customHeight="1" x14ac:dyDescent="0.3">
      <c r="A20" s="204" t="s">
        <v>226</v>
      </c>
      <c r="B20" s="262">
        <v>1</v>
      </c>
      <c r="C20" s="263">
        <f>IF(ISNA(VLOOKUP(A20,'Listado de Artículos'!$B$16:$F$1328,5,0)),0,(VLOOKUP(A20,'Listado de Artículos'!$B$16:$F$1328,5,0)))</f>
        <v>0.96</v>
      </c>
      <c r="D20" s="211">
        <f>B20*C20</f>
        <v>0.96</v>
      </c>
      <c r="E20" s="281"/>
    </row>
    <row r="21" spans="1:9" ht="12.75" customHeight="1" x14ac:dyDescent="0.3">
      <c r="A21" s="200" t="s">
        <v>454</v>
      </c>
      <c r="B21" s="201"/>
      <c r="C21" s="202"/>
      <c r="D21" s="202"/>
      <c r="E21" s="203"/>
    </row>
    <row r="22" spans="1:9" ht="12.75" customHeight="1" x14ac:dyDescent="0.3">
      <c r="A22" s="204" t="s">
        <v>179</v>
      </c>
      <c r="B22" s="262">
        <v>1</v>
      </c>
      <c r="C22" s="263">
        <f>IF(ISNA(VLOOKUP(A22,'Listado de Artículos'!$B$16:$F$1328,5,0)),0,(VLOOKUP(A22,'Listado de Artículos'!$B$16:$F$1328,5,0)))</f>
        <v>0.5</v>
      </c>
      <c r="D22" s="211">
        <f>B22*C22</f>
        <v>0.5</v>
      </c>
      <c r="E22" s="281"/>
    </row>
    <row r="23" spans="1:9" ht="12.75" customHeight="1" x14ac:dyDescent="0.3">
      <c r="A23" s="204" t="s">
        <v>228</v>
      </c>
      <c r="B23" s="262">
        <v>1</v>
      </c>
      <c r="C23" s="263">
        <f>IF(ISNA(VLOOKUP(A23,'Listado de Artículos'!$B$16:$F$1328,5,0)),0,(VLOOKUP(A23,'Listado de Artículos'!$B$16:$F$1328,5,0)))</f>
        <v>0.37</v>
      </c>
      <c r="D23" s="211">
        <f>B23*C23</f>
        <v>0.37</v>
      </c>
      <c r="E23" s="281"/>
    </row>
    <row r="24" spans="1:9" ht="12.75" customHeight="1" x14ac:dyDescent="0.3">
      <c r="A24" s="200" t="s">
        <v>454</v>
      </c>
      <c r="B24" s="201"/>
      <c r="C24" s="202"/>
      <c r="D24" s="202"/>
      <c r="E24" s="203"/>
    </row>
    <row r="25" spans="1:9" ht="12.75" customHeight="1" x14ac:dyDescent="0.3">
      <c r="A25" s="204" t="s">
        <v>156</v>
      </c>
      <c r="B25" s="262">
        <v>0.25</v>
      </c>
      <c r="C25" s="263">
        <f>IF(ISNA(VLOOKUP(A25,'Listado de Artículos'!$B$16:$F$1328,5,0)),0,(VLOOKUP(A25,'Listado de Artículos'!$B$16:$F$1328,5,0)))</f>
        <v>0.9</v>
      </c>
      <c r="D25" s="211">
        <f>B25*C25</f>
        <v>0.22500000000000001</v>
      </c>
      <c r="E25" s="281"/>
    </row>
    <row r="26" spans="1:9" ht="12.75" customHeight="1" x14ac:dyDescent="0.3">
      <c r="A26" s="204" t="s">
        <v>134</v>
      </c>
      <c r="B26" s="262">
        <v>0.15</v>
      </c>
      <c r="C26" s="263">
        <f>IF(ISNA(VLOOKUP(A26,'Listado de Artículos'!$B$16:$F$1328,5,0)),0,(VLOOKUP(A26,'Listado de Artículos'!$B$16:$F$1328,5,0)))</f>
        <v>0</v>
      </c>
      <c r="D26" s="211">
        <f>B26*C26</f>
        <v>0</v>
      </c>
      <c r="E26" s="281"/>
    </row>
    <row r="27" spans="1:9" ht="12.75" customHeight="1" x14ac:dyDescent="0.3">
      <c r="A27" s="204" t="s">
        <v>123</v>
      </c>
      <c r="B27" s="262">
        <v>1</v>
      </c>
      <c r="C27" s="263">
        <f>IF(ISNA(VLOOKUP(A27,'Listado de Artículos'!$B$16:$F$1328,5,0)),0,(VLOOKUP(A27,'Listado de Artículos'!$B$16:$F$1328,5,0)))</f>
        <v>0.65</v>
      </c>
      <c r="D27" s="211">
        <f>B27*C27</f>
        <v>0.65</v>
      </c>
      <c r="E27" s="281"/>
    </row>
    <row r="28" spans="1:9" ht="12.75" customHeight="1" x14ac:dyDescent="0.3">
      <c r="A28" s="204" t="s">
        <v>48</v>
      </c>
      <c r="B28" s="262">
        <v>0.3</v>
      </c>
      <c r="C28" s="263">
        <f>IF(ISNA(VLOOKUP(A28,'Listado de Artículos'!$B$16:$F$1328,5,0)),0,(VLOOKUP(A28,'Listado de Artículos'!$B$16:$F$1328,5,0)))</f>
        <v>0.8</v>
      </c>
      <c r="D28" s="211">
        <f>B28*C28</f>
        <v>0.24</v>
      </c>
      <c r="E28" s="281"/>
    </row>
    <row r="29" spans="1:9" ht="12.75" customHeight="1" x14ac:dyDescent="0.3">
      <c r="A29" s="204" t="s">
        <v>123</v>
      </c>
      <c r="B29" s="283"/>
      <c r="C29" s="284"/>
      <c r="D29" s="285"/>
      <c r="E29" s="281"/>
    </row>
    <row r="30" spans="1:9" ht="12.75" customHeight="1" x14ac:dyDescent="0.3">
      <c r="A30" s="205" t="s">
        <v>455</v>
      </c>
      <c r="B30" s="286">
        <v>75</v>
      </c>
      <c r="C30" s="287">
        <f>+B30-(B30*0.1)</f>
        <v>67.5</v>
      </c>
      <c r="D30" s="288">
        <f>SUM(D6:D29)</f>
        <v>11.379899999999999</v>
      </c>
      <c r="E30" s="289">
        <f>(D30*100/C30)/100</f>
        <v>0.16859111111111111</v>
      </c>
      <c r="F30" s="206"/>
      <c r="G30" s="206"/>
      <c r="H30" s="206"/>
      <c r="I30" s="206"/>
    </row>
    <row r="31" spans="1:9" ht="12.75" customHeight="1" x14ac:dyDescent="0.25"/>
    <row r="32" spans="1:9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F3"/>
  </mergeCells>
  <conditionalFormatting sqref="C29">
    <cfRule type="cellIs" dxfId="20" priority="1" stopIfTrue="1" operator="lessThan">
      <formula>0</formula>
    </cfRule>
    <cfRule type="cellIs" dxfId="19" priority="2" stopIfTrue="1" operator="lessThan">
      <formula>0</formula>
    </cfRule>
    <cfRule type="cellIs" dxfId="18" priority="3" stopIfTrue="1" operator="lessThan">
      <formula>0</formula>
    </cfRule>
  </conditionalFormatting>
  <conditionalFormatting sqref="C30">
    <cfRule type="cellIs" dxfId="17" priority="4" stopIfTrue="1" operator="lessThan">
      <formula>0</formula>
    </cfRule>
  </conditionalFormatting>
  <dataValidations count="1">
    <dataValidation type="list" allowBlank="1" showErrorMessage="1" sqref="A5:A9 A11:A12 A14:A17 A19:A20 A22:A23 A25:A29">
      <formula1>Articulo</formula1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000"/>
  <sheetViews>
    <sheetView workbookViewId="0"/>
  </sheetViews>
  <sheetFormatPr baseColWidth="10" defaultColWidth="12.6640625" defaultRowHeight="15" customHeight="1" x14ac:dyDescent="0.25"/>
  <cols>
    <col min="1" max="1" width="60.109375" style="302" customWidth="1"/>
    <col min="2" max="2" width="8.88671875" style="302" customWidth="1"/>
    <col min="3" max="3" width="10.77734375" style="302" customWidth="1"/>
    <col min="4" max="4" width="11.6640625" style="302" customWidth="1"/>
    <col min="5" max="5" width="8.6640625" style="302" customWidth="1"/>
    <col min="6" max="6" width="47.33203125" style="302" customWidth="1"/>
    <col min="7" max="7" width="46.109375" style="302" customWidth="1"/>
    <col min="8" max="8" width="53.21875" style="302" customWidth="1"/>
    <col min="9" max="26" width="8.6640625" style="302" customWidth="1"/>
  </cols>
  <sheetData>
    <row r="1" spans="1:13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4"/>
    </row>
    <row r="2" spans="1:13" ht="12.75" customHeight="1" x14ac:dyDescent="0.25">
      <c r="A2" s="337" t="s">
        <v>564</v>
      </c>
      <c r="B2" s="323"/>
      <c r="C2" s="323"/>
      <c r="D2" s="323"/>
      <c r="E2" s="323"/>
      <c r="F2" s="323"/>
      <c r="G2" s="338" t="s">
        <v>565</v>
      </c>
      <c r="H2" s="338" t="s">
        <v>566</v>
      </c>
    </row>
    <row r="3" spans="1:13" ht="12.75" customHeight="1" x14ac:dyDescent="0.25">
      <c r="A3" s="325"/>
      <c r="B3" s="326"/>
      <c r="C3" s="326"/>
      <c r="D3" s="326"/>
      <c r="E3" s="326"/>
      <c r="F3" s="326"/>
      <c r="G3" s="339"/>
      <c r="H3" s="339"/>
    </row>
    <row r="4" spans="1:13" ht="12.75" customHeight="1" x14ac:dyDescent="0.3">
      <c r="A4" s="196" t="s">
        <v>444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3" ht="12.75" customHeight="1" x14ac:dyDescent="0.3">
      <c r="A5" s="198" t="s">
        <v>449</v>
      </c>
      <c r="B5" s="279" t="s">
        <v>450</v>
      </c>
      <c r="C5" s="280" t="s">
        <v>451</v>
      </c>
      <c r="D5" s="199" t="s">
        <v>452</v>
      </c>
      <c r="E5" s="281"/>
      <c r="F5" s="256" t="s">
        <v>567</v>
      </c>
      <c r="G5" s="256" t="s">
        <v>567</v>
      </c>
      <c r="H5" s="256" t="s">
        <v>567</v>
      </c>
    </row>
    <row r="6" spans="1:13" ht="12.75" customHeight="1" x14ac:dyDescent="0.3">
      <c r="A6" s="236" t="s">
        <v>216</v>
      </c>
      <c r="B6" s="262">
        <v>0.05</v>
      </c>
      <c r="C6" s="263">
        <f>IF(ISNA(VLOOKUP(A6,'Listado de Artículos'!$B$16:$F$1328,5,0)),0,(VLOOKUP(A6,'Listado de Artículos'!$B$16:$F$1328,5,0)))</f>
        <v>12.16</v>
      </c>
      <c r="D6" s="211">
        <f>B6*C6</f>
        <v>0.6080000000000001</v>
      </c>
      <c r="E6" s="281"/>
      <c r="F6" s="225" t="s">
        <v>568</v>
      </c>
      <c r="G6" s="225" t="s">
        <v>569</v>
      </c>
    </row>
    <row r="7" spans="1:13" ht="12.75" customHeight="1" x14ac:dyDescent="0.3">
      <c r="A7" s="204" t="s">
        <v>39</v>
      </c>
      <c r="B7" s="262">
        <v>1</v>
      </c>
      <c r="C7" s="263">
        <f>IF(ISNA(VLOOKUP(A7,'Listado de Artículos'!$B$16:$F$1328,5,0)),0,(VLOOKUP(A7,'Listado de Artículos'!$B$16:$F$1328,5,0)))</f>
        <v>0.57999999999999996</v>
      </c>
      <c r="D7" s="211">
        <f>B7*C7</f>
        <v>0.57999999999999996</v>
      </c>
      <c r="E7" s="281"/>
      <c r="F7" s="76" t="s">
        <v>570</v>
      </c>
      <c r="G7" s="225" t="s">
        <v>571</v>
      </c>
      <c r="H7" s="76" t="s">
        <v>572</v>
      </c>
    </row>
    <row r="8" spans="1:13" ht="12.75" customHeight="1" x14ac:dyDescent="0.3">
      <c r="A8" s="204" t="s">
        <v>24</v>
      </c>
      <c r="B8" s="262">
        <v>1</v>
      </c>
      <c r="C8" s="263">
        <f>IF(ISNA(VLOOKUP(A8,'Listado de Artículos'!$B$16:$F$1328,5,0)),0,(VLOOKUP(A8,'Listado de Artículos'!$B$16:$F$1328,5,0)))</f>
        <v>0.78</v>
      </c>
      <c r="D8" s="211">
        <f>B8*C8</f>
        <v>0.78</v>
      </c>
      <c r="E8" s="281"/>
      <c r="F8" s="225" t="s">
        <v>573</v>
      </c>
      <c r="G8" s="225" t="s">
        <v>574</v>
      </c>
    </row>
    <row r="9" spans="1:13" ht="12.75" customHeight="1" x14ac:dyDescent="0.3">
      <c r="A9" s="200" t="s">
        <v>575</v>
      </c>
      <c r="B9" s="201"/>
      <c r="C9" s="202"/>
      <c r="D9" s="202"/>
      <c r="E9" s="203"/>
      <c r="F9" s="256" t="s">
        <v>489</v>
      </c>
      <c r="G9" s="256" t="s">
        <v>489</v>
      </c>
      <c r="H9" s="256" t="s">
        <v>489</v>
      </c>
    </row>
    <row r="10" spans="1:13" ht="12.75" customHeight="1" x14ac:dyDescent="0.3">
      <c r="A10" s="204"/>
      <c r="B10" s="290">
        <v>1</v>
      </c>
      <c r="C10" s="291">
        <v>2.25</v>
      </c>
      <c r="D10" s="210">
        <f>B10*C10</f>
        <v>2.25</v>
      </c>
      <c r="E10" s="292"/>
      <c r="F10" s="225" t="s">
        <v>576</v>
      </c>
      <c r="G10" s="225" t="s">
        <v>576</v>
      </c>
      <c r="H10" s="225" t="s">
        <v>577</v>
      </c>
    </row>
    <row r="11" spans="1:13" ht="12.75" customHeight="1" x14ac:dyDescent="0.3">
      <c r="A11" s="200" t="s">
        <v>561</v>
      </c>
      <c r="B11" s="201"/>
      <c r="C11" s="202"/>
      <c r="D11" s="202"/>
      <c r="E11" s="203"/>
      <c r="F11" s="256" t="s">
        <v>561</v>
      </c>
      <c r="G11" s="256" t="s">
        <v>561</v>
      </c>
      <c r="H11" s="256" t="s">
        <v>561</v>
      </c>
    </row>
    <row r="12" spans="1:13" ht="12.75" customHeight="1" x14ac:dyDescent="0.3">
      <c r="A12" s="204"/>
      <c r="B12" s="262">
        <v>1</v>
      </c>
      <c r="C12" s="263">
        <v>4.5</v>
      </c>
      <c r="D12" s="210">
        <f>B12*C12</f>
        <v>4.5</v>
      </c>
      <c r="E12" s="281"/>
      <c r="F12" s="225" t="s">
        <v>578</v>
      </c>
      <c r="G12" s="225" t="s">
        <v>578</v>
      </c>
      <c r="H12" s="225" t="s">
        <v>579</v>
      </c>
    </row>
    <row r="13" spans="1:13" ht="12.75" customHeight="1" x14ac:dyDescent="0.3">
      <c r="A13" s="200" t="s">
        <v>473</v>
      </c>
      <c r="B13" s="201"/>
      <c r="C13" s="202"/>
      <c r="D13" s="202"/>
      <c r="E13" s="203"/>
      <c r="F13" s="256" t="s">
        <v>562</v>
      </c>
      <c r="G13" s="256" t="s">
        <v>562</v>
      </c>
      <c r="H13" s="256" t="s">
        <v>562</v>
      </c>
    </row>
    <row r="14" spans="1:13" ht="12.75" customHeight="1" x14ac:dyDescent="0.3">
      <c r="A14" s="204"/>
      <c r="B14" s="262">
        <v>1</v>
      </c>
      <c r="C14" s="263">
        <v>5.2</v>
      </c>
      <c r="D14" s="211">
        <f>B14*C14</f>
        <v>5.2</v>
      </c>
      <c r="E14" s="281"/>
      <c r="F14" s="225" t="s">
        <v>580</v>
      </c>
      <c r="G14" s="76" t="s">
        <v>581</v>
      </c>
      <c r="H14" s="225" t="s">
        <v>582</v>
      </c>
    </row>
    <row r="15" spans="1:13" ht="12.75" customHeight="1" x14ac:dyDescent="0.3">
      <c r="A15" s="226"/>
      <c r="B15" s="266"/>
      <c r="C15" s="267"/>
      <c r="D15" s="224"/>
      <c r="E15" s="301"/>
    </row>
    <row r="16" spans="1:13" ht="12.75" customHeight="1" x14ac:dyDescent="0.3">
      <c r="A16" s="200" t="s">
        <v>454</v>
      </c>
      <c r="B16" s="201"/>
      <c r="C16" s="202"/>
      <c r="D16" s="202"/>
      <c r="E16" s="203"/>
      <c r="F16" s="256" t="s">
        <v>491</v>
      </c>
      <c r="G16" s="256" t="s">
        <v>491</v>
      </c>
      <c r="H16" s="256" t="s">
        <v>491</v>
      </c>
    </row>
    <row r="17" spans="1:9" ht="12.75" customHeight="1" x14ac:dyDescent="0.3">
      <c r="A17" s="204"/>
      <c r="B17" s="262">
        <v>1</v>
      </c>
      <c r="C17" s="263">
        <v>2.25</v>
      </c>
      <c r="D17" s="211">
        <f>B17*C17</f>
        <v>2.25</v>
      </c>
      <c r="E17" s="281"/>
      <c r="F17" s="76" t="s">
        <v>583</v>
      </c>
      <c r="G17" s="76" t="s">
        <v>583</v>
      </c>
      <c r="H17" s="76" t="s">
        <v>584</v>
      </c>
    </row>
    <row r="18" spans="1:9" ht="12.75" customHeight="1" x14ac:dyDescent="0.3">
      <c r="A18" s="204"/>
      <c r="B18" s="262">
        <v>1</v>
      </c>
      <c r="C18" s="263">
        <v>1.5</v>
      </c>
      <c r="D18" s="211">
        <f>B18*C18</f>
        <v>1.5</v>
      </c>
      <c r="E18" s="281"/>
      <c r="F18" s="225" t="s">
        <v>585</v>
      </c>
      <c r="G18" s="225" t="s">
        <v>585</v>
      </c>
    </row>
    <row r="19" spans="1:9" ht="12.75" customHeight="1" x14ac:dyDescent="0.3">
      <c r="A19" s="200" t="s">
        <v>586</v>
      </c>
      <c r="B19" s="201"/>
      <c r="C19" s="202"/>
      <c r="D19" s="202"/>
      <c r="E19" s="203"/>
      <c r="F19" s="256" t="s">
        <v>587</v>
      </c>
      <c r="G19" s="256" t="s">
        <v>587</v>
      </c>
      <c r="H19" s="256" t="s">
        <v>587</v>
      </c>
    </row>
    <row r="20" spans="1:9" ht="12.75" customHeight="1" x14ac:dyDescent="0.3">
      <c r="A20" s="204" t="s">
        <v>131</v>
      </c>
      <c r="B20" s="262">
        <v>0.2</v>
      </c>
      <c r="C20" s="263">
        <f>IF(ISNA(VLOOKUP(A20,'Listado de Artículos'!$B$16:$F$1328,5,0)),0,(VLOOKUP(A20,'Listado de Artículos'!$B$16:$F$1328,5,0)))</f>
        <v>5.38</v>
      </c>
      <c r="D20" s="211">
        <f>B20*C20</f>
        <v>1.0760000000000001</v>
      </c>
      <c r="E20" s="281"/>
    </row>
    <row r="21" spans="1:9" ht="12.75" customHeight="1" x14ac:dyDescent="0.3">
      <c r="A21" s="204"/>
      <c r="B21" s="262">
        <v>0.2</v>
      </c>
      <c r="C21" s="263">
        <v>5.9</v>
      </c>
      <c r="D21" s="211">
        <f>B21*C21</f>
        <v>1.1800000000000002</v>
      </c>
      <c r="E21" s="281"/>
      <c r="F21" s="256" t="s">
        <v>588</v>
      </c>
      <c r="G21" s="256" t="s">
        <v>588</v>
      </c>
      <c r="H21" s="256" t="s">
        <v>588</v>
      </c>
    </row>
    <row r="22" spans="1:9" ht="12.75" customHeight="1" x14ac:dyDescent="0.3">
      <c r="A22" s="204"/>
      <c r="B22" s="262">
        <v>0.2</v>
      </c>
      <c r="C22" s="263">
        <v>6.5</v>
      </c>
      <c r="D22" s="211">
        <f>B22*C22</f>
        <v>1.3</v>
      </c>
      <c r="E22" s="281"/>
      <c r="F22" s="225" t="s">
        <v>589</v>
      </c>
      <c r="G22" s="225" t="s">
        <v>589</v>
      </c>
      <c r="H22" s="225" t="s">
        <v>589</v>
      </c>
    </row>
    <row r="23" spans="1:9" ht="12.75" customHeight="1" x14ac:dyDescent="0.3">
      <c r="A23" s="204" t="s">
        <v>48</v>
      </c>
      <c r="B23" s="262">
        <v>0.3</v>
      </c>
      <c r="C23" s="263">
        <f>IF(ISNA(VLOOKUP(A23,'Listado de Artículos'!$B$16:$F$1328,5,0)),0,(VLOOKUP(A23,'Listado de Artículos'!$B$16:$F$1328,5,0)))</f>
        <v>0.8</v>
      </c>
      <c r="D23" s="211">
        <f>B23*C23</f>
        <v>0.24</v>
      </c>
      <c r="E23" s="281"/>
      <c r="F23" s="225" t="s">
        <v>590</v>
      </c>
      <c r="G23" s="225" t="s">
        <v>590</v>
      </c>
      <c r="H23" s="225" t="s">
        <v>590</v>
      </c>
    </row>
    <row r="24" spans="1:9" ht="12.75" customHeight="1" x14ac:dyDescent="0.3">
      <c r="A24" s="204" t="s">
        <v>123</v>
      </c>
      <c r="B24" s="262">
        <v>1</v>
      </c>
      <c r="C24" s="263">
        <f>IF(ISNA(VLOOKUP(A24,'Listado de Artículos'!$B$16:$F$1328,5,0)),0,(VLOOKUP(A24,'Listado de Artículos'!$B$16:$F$1328,5,0)))</f>
        <v>0.65</v>
      </c>
      <c r="D24" s="211">
        <f>B24*C24</f>
        <v>0.65</v>
      </c>
      <c r="E24" s="281"/>
    </row>
    <row r="25" spans="1:9" ht="12.75" customHeight="1" x14ac:dyDescent="0.3">
      <c r="A25" s="204" t="s">
        <v>123</v>
      </c>
      <c r="B25" s="283"/>
      <c r="C25" s="284"/>
      <c r="D25" s="285"/>
      <c r="E25" s="281"/>
    </row>
    <row r="26" spans="1:9" ht="12.75" customHeight="1" x14ac:dyDescent="0.3">
      <c r="A26" s="205" t="s">
        <v>455</v>
      </c>
      <c r="B26" s="286">
        <v>75</v>
      </c>
      <c r="C26" s="287">
        <f>+B26-(B26*0.1)</f>
        <v>67.5</v>
      </c>
      <c r="D26" s="288">
        <f>SUM(D6:D24)</f>
        <v>22.113999999999997</v>
      </c>
      <c r="E26" s="289">
        <f>(D26*100/C26)/100</f>
        <v>0.32761481481481475</v>
      </c>
      <c r="F26" s="206"/>
      <c r="H26" s="206"/>
      <c r="I26" s="206"/>
    </row>
    <row r="27" spans="1:9" ht="12.75" customHeight="1" x14ac:dyDescent="0.25"/>
    <row r="28" spans="1:9" ht="12.75" customHeight="1" x14ac:dyDescent="0.25"/>
    <row r="29" spans="1:9" ht="12.75" customHeight="1" x14ac:dyDescent="0.25"/>
    <row r="30" spans="1:9" ht="12.75" customHeight="1" x14ac:dyDescent="0.25"/>
    <row r="31" spans="1:9" ht="12.75" customHeight="1" x14ac:dyDescent="0.25"/>
    <row r="32" spans="1:9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2:F3"/>
    <mergeCell ref="H2:H3"/>
    <mergeCell ref="G2:G3"/>
  </mergeCells>
  <conditionalFormatting sqref="C25">
    <cfRule type="cellIs" dxfId="16" priority="1" stopIfTrue="1" operator="lessThan">
      <formula>0</formula>
    </cfRule>
    <cfRule type="cellIs" dxfId="15" priority="2" stopIfTrue="1" operator="lessThan">
      <formula>0</formula>
    </cfRule>
    <cfRule type="cellIs" dxfId="14" priority="3" stopIfTrue="1" operator="lessThan">
      <formula>0</formula>
    </cfRule>
  </conditionalFormatting>
  <conditionalFormatting sqref="C26">
    <cfRule type="cellIs" dxfId="13" priority="4" stopIfTrue="1" operator="lessThan">
      <formula>0</formula>
    </cfRule>
  </conditionalFormatting>
  <dataValidations count="1">
    <dataValidation type="list" allowBlank="1" showErrorMessage="1" sqref="A5:A8 A10 A12 A14:A15 A17:A18 A20:A25">
      <formula1>Articulo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640625" defaultRowHeight="15" customHeight="1" x14ac:dyDescent="0.25"/>
  <cols>
    <col min="1" max="1" width="94.33203125" style="302" customWidth="1"/>
    <col min="2" max="2" width="8.88671875" style="302" customWidth="1"/>
    <col min="3" max="5" width="8.6640625" style="302" customWidth="1"/>
    <col min="6" max="6" width="27.21875" style="302" customWidth="1"/>
    <col min="7" max="26" width="8.6640625" style="302" customWidth="1"/>
  </cols>
  <sheetData>
    <row r="1" spans="1:12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12" ht="12.75" customHeight="1" x14ac:dyDescent="0.25">
      <c r="A2" s="322" t="s">
        <v>471</v>
      </c>
      <c r="B2" s="323"/>
      <c r="C2" s="323"/>
      <c r="D2" s="323"/>
      <c r="E2" s="323"/>
      <c r="F2" s="324"/>
    </row>
    <row r="3" spans="1:12" ht="12.75" customHeight="1" x14ac:dyDescent="0.25">
      <c r="A3" s="325"/>
      <c r="B3" s="326"/>
      <c r="C3" s="326"/>
      <c r="D3" s="326"/>
      <c r="E3" s="326"/>
      <c r="F3" s="327"/>
    </row>
    <row r="4" spans="1:12" ht="12.75" customHeight="1" x14ac:dyDescent="0.3">
      <c r="A4" s="196" t="s">
        <v>444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2" ht="12.75" customHeight="1" x14ac:dyDescent="0.3">
      <c r="A5" s="198" t="s">
        <v>449</v>
      </c>
      <c r="B5" s="279" t="s">
        <v>450</v>
      </c>
      <c r="C5" s="280" t="s">
        <v>451</v>
      </c>
      <c r="D5" s="199" t="s">
        <v>452</v>
      </c>
      <c r="E5" s="281"/>
    </row>
    <row r="6" spans="1:12" ht="12.75" customHeight="1" x14ac:dyDescent="0.3">
      <c r="A6" s="204" t="s">
        <v>262</v>
      </c>
      <c r="B6" s="262">
        <v>0.01</v>
      </c>
      <c r="C6" s="263">
        <f>IF(ISNA(VLOOKUP(A6,'Listado de Artículos'!$B$16:$F$1328,5,0)),0,(VLOOKUP(A6,'Listado de Artículos'!$B$16:$F$1328,5,0)))</f>
        <v>8.5</v>
      </c>
      <c r="D6" s="211">
        <f>B6*C6</f>
        <v>8.5000000000000006E-2</v>
      </c>
      <c r="E6" s="281"/>
    </row>
    <row r="7" spans="1:12" ht="12.75" customHeight="1" x14ac:dyDescent="0.3">
      <c r="A7" s="204" t="s">
        <v>191</v>
      </c>
      <c r="B7" s="262">
        <v>0.01</v>
      </c>
      <c r="C7" s="263">
        <f>IF(ISNA(VLOOKUP(A7,'Listado de Artículos'!$B$16:$F$1328,5,0)),0,(VLOOKUP(A7,'Listado de Artículos'!$B$16:$F$1328,5,0)))</f>
        <v>15.87</v>
      </c>
      <c r="D7" s="211">
        <f>B7*C7</f>
        <v>0.15870000000000001</v>
      </c>
      <c r="E7" s="281"/>
    </row>
    <row r="8" spans="1:12" ht="12.75" customHeight="1" x14ac:dyDescent="0.3">
      <c r="A8" s="204" t="s">
        <v>84</v>
      </c>
      <c r="B8" s="262">
        <v>0.01</v>
      </c>
      <c r="C8" s="263">
        <f>IF(ISNA(VLOOKUP(A8,'Listado de Artículos'!$B$16:$F$1328,5,0)),0,(VLOOKUP(A8,'Listado de Artículos'!$B$16:$F$1328,5,0)))</f>
        <v>522.04999999999995</v>
      </c>
      <c r="D8" s="211">
        <f>B8*C8</f>
        <v>5.2204999999999995</v>
      </c>
      <c r="E8" s="281"/>
    </row>
    <row r="9" spans="1:12" ht="12.75" customHeight="1" x14ac:dyDescent="0.3">
      <c r="A9" s="200" t="s">
        <v>472</v>
      </c>
      <c r="B9" s="201"/>
      <c r="C9" s="202"/>
      <c r="D9" s="202"/>
      <c r="E9" s="203"/>
    </row>
    <row r="10" spans="1:12" ht="12.75" customHeight="1" x14ac:dyDescent="0.3">
      <c r="A10" s="204" t="s">
        <v>119</v>
      </c>
      <c r="B10" s="290">
        <v>15</v>
      </c>
      <c r="C10" s="291">
        <f>IF(ISNA(VLOOKUP(A10,'Listado de Artículos'!$B$16:$F$1328,5,0)),0,(VLOOKUP(A10,'Listado de Artículos'!$B$16:$F$1328,5,0)))</f>
        <v>0.16</v>
      </c>
      <c r="D10" s="210">
        <f>B10*C10</f>
        <v>2.4</v>
      </c>
      <c r="E10" s="292"/>
    </row>
    <row r="11" spans="1:12" ht="12.75" customHeight="1" x14ac:dyDescent="0.3">
      <c r="A11" s="204" t="s">
        <v>324</v>
      </c>
      <c r="B11" s="262">
        <v>0.125</v>
      </c>
      <c r="C11" s="263">
        <f>IF(ISNA(VLOOKUP(A11,'Listado de Artículos'!$B$16:$F$1328,5,0)),0,(VLOOKUP(A11,'Listado de Artículos'!$B$16:$F$1328,5,0)))</f>
        <v>2.94</v>
      </c>
      <c r="D11" s="211">
        <f>B11*C11</f>
        <v>0.36749999999999999</v>
      </c>
      <c r="E11" s="281"/>
    </row>
    <row r="12" spans="1:12" ht="12.75" customHeight="1" x14ac:dyDescent="0.3">
      <c r="A12" s="200" t="s">
        <v>453</v>
      </c>
      <c r="B12" s="201"/>
      <c r="C12" s="202"/>
      <c r="D12" s="202"/>
      <c r="E12" s="203"/>
    </row>
    <row r="13" spans="1:12" ht="12.75" customHeight="1" x14ac:dyDescent="0.3">
      <c r="A13" s="204" t="s">
        <v>230</v>
      </c>
      <c r="B13" s="262">
        <v>1</v>
      </c>
      <c r="C13" s="263">
        <f>IF(ISNA(VLOOKUP(A13,'Listado de Artículos'!$B$16:$F$1328,5,0)),0,(VLOOKUP(A13,'Listado de Artículos'!$B$16:$F$1328,5,0)))</f>
        <v>0.54</v>
      </c>
      <c r="D13" s="211">
        <f>B13*C13</f>
        <v>0.54</v>
      </c>
      <c r="E13" s="281"/>
    </row>
    <row r="14" spans="1:12" ht="12.75" customHeight="1" x14ac:dyDescent="0.3">
      <c r="A14" s="204" t="s">
        <v>223</v>
      </c>
      <c r="B14" s="262">
        <v>1</v>
      </c>
      <c r="C14" s="263">
        <f>IF(ISNA(VLOOKUP(A14,'Listado de Artículos'!$B$16:$F$1328,5,0)),0,(VLOOKUP(A14,'Listado de Artículos'!$B$16:$F$1328,5,0)))</f>
        <v>0.84</v>
      </c>
      <c r="D14" s="211">
        <f>B14*C14</f>
        <v>0.84</v>
      </c>
      <c r="E14" s="281"/>
    </row>
    <row r="15" spans="1:12" ht="12.75" customHeight="1" x14ac:dyDescent="0.3">
      <c r="A15" s="204" t="s">
        <v>299</v>
      </c>
      <c r="B15" s="262">
        <v>0.1</v>
      </c>
      <c r="C15" s="263">
        <f>IF(ISNA(VLOOKUP(A15,'Listado de Artículos'!$B$16:$F$1328,5,0)),0,(VLOOKUP(A15,'Listado de Artículos'!$B$16:$F$1328,5,0)))</f>
        <v>2.88</v>
      </c>
      <c r="D15" s="211">
        <f>B15*C15</f>
        <v>0.28799999999999998</v>
      </c>
      <c r="E15" s="281"/>
    </row>
    <row r="16" spans="1:12" ht="12.75" customHeight="1" x14ac:dyDescent="0.3">
      <c r="A16" s="204" t="s">
        <v>106</v>
      </c>
      <c r="B16" s="262">
        <v>7.0000000000000007E-2</v>
      </c>
      <c r="C16" s="263">
        <f>IF(ISNA(VLOOKUP(A16,'Listado de Artículos'!$B$16:$F$1328,5,0)),0,(VLOOKUP(A16,'Listado de Artículos'!$B$16:$F$1328,5,0)))</f>
        <v>7.6</v>
      </c>
      <c r="D16" s="211">
        <f>B16*C16</f>
        <v>0.53200000000000003</v>
      </c>
      <c r="E16" s="281"/>
    </row>
    <row r="17" spans="1:8" ht="12.75" customHeight="1" x14ac:dyDescent="0.3">
      <c r="A17" s="204" t="s">
        <v>280</v>
      </c>
      <c r="B17" s="262">
        <v>0.15</v>
      </c>
      <c r="C17" s="263">
        <f>IF(ISNA(VLOOKUP(A17,'Listado de Artículos'!$B$16:$F$1328,5,0)),0,(VLOOKUP(A17,'Listado de Artículos'!$B$16:$F$1328,5,0)))</f>
        <v>2</v>
      </c>
      <c r="D17" s="211">
        <f>B17*C17</f>
        <v>0.3</v>
      </c>
      <c r="E17" s="281"/>
    </row>
    <row r="18" spans="1:8" ht="12.75" customHeight="1" x14ac:dyDescent="0.3">
      <c r="A18" s="200" t="s">
        <v>454</v>
      </c>
      <c r="B18" s="201"/>
      <c r="C18" s="202"/>
      <c r="D18" s="202"/>
      <c r="E18" s="203"/>
    </row>
    <row r="19" spans="1:8" ht="12.75" customHeight="1" x14ac:dyDescent="0.3">
      <c r="A19" s="204" t="s">
        <v>179</v>
      </c>
      <c r="B19" s="262">
        <v>1</v>
      </c>
      <c r="C19" s="263">
        <f>IF(ISNA(VLOOKUP(A19,'Listado de Artículos'!$B$16:$F$1328,5,0)),0,(VLOOKUP(A19,'Listado de Artículos'!$B$16:$F$1328,5,0)))</f>
        <v>0.5</v>
      </c>
      <c r="D19" s="211">
        <f>B19*C19</f>
        <v>0.5</v>
      </c>
      <c r="E19" s="281"/>
    </row>
    <row r="20" spans="1:8" ht="12.75" customHeight="1" x14ac:dyDescent="0.3">
      <c r="A20" s="200" t="s">
        <v>454</v>
      </c>
      <c r="B20" s="201"/>
      <c r="C20" s="202"/>
      <c r="D20" s="202"/>
      <c r="E20" s="203"/>
    </row>
    <row r="21" spans="1:8" ht="12.75" customHeight="1" x14ac:dyDescent="0.3">
      <c r="A21" s="204" t="s">
        <v>331</v>
      </c>
      <c r="B21" s="262">
        <v>0.2</v>
      </c>
      <c r="C21" s="263">
        <f>IF(ISNA(VLOOKUP(A21,'Listado de Artículos'!$B$16:$F$1328,5,0)),0,(VLOOKUP(A21,'Listado de Artículos'!$B$16:$F$1328,5,0)))</f>
        <v>1.77</v>
      </c>
      <c r="D21" s="211">
        <f>B21*C21</f>
        <v>0.35400000000000004</v>
      </c>
      <c r="E21" s="281"/>
    </row>
    <row r="22" spans="1:8" ht="12.75" customHeight="1" x14ac:dyDescent="0.3">
      <c r="A22" s="204" t="s">
        <v>123</v>
      </c>
      <c r="B22" s="262">
        <v>1</v>
      </c>
      <c r="C22" s="263">
        <f>IF(ISNA(VLOOKUP(A22,'Listado de Artículos'!$B$16:$F$1328,5,0)),0,(VLOOKUP(A22,'Listado de Artículos'!$B$16:$F$1328,5,0)))</f>
        <v>0.65</v>
      </c>
      <c r="D22" s="211">
        <f>B22*C22</f>
        <v>0.65</v>
      </c>
      <c r="E22" s="281"/>
    </row>
    <row r="23" spans="1:8" ht="12.75" customHeight="1" x14ac:dyDescent="0.3">
      <c r="A23" s="204" t="s">
        <v>48</v>
      </c>
      <c r="B23" s="262">
        <v>0.3</v>
      </c>
      <c r="C23" s="263">
        <f>IF(ISNA(VLOOKUP(A23,'Listado de Artículos'!$B$16:$F$1328,5,0)),0,(VLOOKUP(A23,'Listado de Artículos'!$B$16:$F$1328,5,0)))</f>
        <v>0.8</v>
      </c>
      <c r="D23" s="211">
        <f>B23*C23</f>
        <v>0.24</v>
      </c>
      <c r="E23" s="281"/>
    </row>
    <row r="24" spans="1:8" ht="12.75" customHeight="1" x14ac:dyDescent="0.3">
      <c r="A24" s="204"/>
      <c r="B24" s="262">
        <v>0.15</v>
      </c>
      <c r="C24" s="263">
        <f>IF(ISNA(VLOOKUP(A24,'Listado de Artículos'!$B$16:$F$1328,5,0)),0,(VLOOKUP(A24,'Listado de Artículos'!$B$16:$F$1328,5,0)))</f>
        <v>0</v>
      </c>
      <c r="D24" s="211">
        <f>B24*C24</f>
        <v>0</v>
      </c>
      <c r="E24" s="281"/>
    </row>
    <row r="25" spans="1:8" ht="12.75" customHeight="1" x14ac:dyDescent="0.3">
      <c r="A25" s="226"/>
      <c r="B25" s="266"/>
      <c r="C25" s="267"/>
      <c r="D25" s="224"/>
      <c r="E25" s="281"/>
    </row>
    <row r="26" spans="1:8" ht="12.75" customHeight="1" x14ac:dyDescent="0.3">
      <c r="A26" s="205" t="s">
        <v>455</v>
      </c>
      <c r="B26" s="286">
        <v>25</v>
      </c>
      <c r="C26" s="287">
        <f>B26/1.1</f>
        <v>22.727272727272727</v>
      </c>
      <c r="D26" s="288">
        <f>SUM(D8:D24)</f>
        <v>12.231999999999999</v>
      </c>
      <c r="E26" s="289">
        <f>(D26*100/C26)/100</f>
        <v>0.53820799999999991</v>
      </c>
      <c r="F26" s="206"/>
      <c r="G26" s="206"/>
      <c r="H26" s="206"/>
    </row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F3"/>
  </mergeCells>
  <conditionalFormatting sqref="C26">
    <cfRule type="cellIs" dxfId="12" priority="1" stopIfTrue="1" operator="lessThan">
      <formula>0</formula>
    </cfRule>
  </conditionalFormatting>
  <dataValidations count="1">
    <dataValidation type="list" allowBlank="1" showErrorMessage="1" sqref="A5:A8 A10:A11 A13:A17 A19 A21:A25">
      <formula1>Articulo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1001"/>
  <sheetViews>
    <sheetView workbookViewId="0"/>
  </sheetViews>
  <sheetFormatPr baseColWidth="10" defaultColWidth="12.6640625" defaultRowHeight="15" customHeight="1" x14ac:dyDescent="0.25"/>
  <cols>
    <col min="1" max="1" width="90.6640625" style="302" customWidth="1"/>
    <col min="2" max="2" width="54" style="302" customWidth="1"/>
    <col min="3" max="5" width="11.33203125" style="302" customWidth="1"/>
    <col min="6" max="6" width="12.21875" style="302" customWidth="1"/>
    <col min="7" max="7" width="14.21875" style="302" customWidth="1"/>
    <col min="8" max="12" width="11.33203125" style="302" customWidth="1"/>
    <col min="13" max="26" width="8.6640625" style="302" customWidth="1"/>
  </cols>
  <sheetData>
    <row r="1" spans="1:12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12" ht="12.75" customHeight="1" x14ac:dyDescent="0.25">
      <c r="A2" s="322" t="s">
        <v>471</v>
      </c>
      <c r="B2" s="323"/>
      <c r="C2" s="323"/>
      <c r="D2" s="323"/>
      <c r="E2" s="323"/>
      <c r="F2" s="324"/>
    </row>
    <row r="3" spans="1:12" ht="12.75" customHeight="1" x14ac:dyDescent="0.25">
      <c r="A3" s="325"/>
      <c r="B3" s="326"/>
      <c r="C3" s="326"/>
      <c r="D3" s="326"/>
      <c r="E3" s="326"/>
      <c r="F3" s="327"/>
    </row>
    <row r="4" spans="1:12" ht="12.75" customHeight="1" x14ac:dyDescent="0.3">
      <c r="A4" s="196" t="s">
        <v>444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2" ht="12.75" customHeight="1" x14ac:dyDescent="0.3">
      <c r="A5" s="198" t="s">
        <v>449</v>
      </c>
      <c r="B5" s="279" t="s">
        <v>450</v>
      </c>
      <c r="C5" s="280" t="s">
        <v>451</v>
      </c>
      <c r="D5" s="199" t="s">
        <v>452</v>
      </c>
      <c r="E5" s="281"/>
    </row>
    <row r="6" spans="1:12" ht="12.75" customHeight="1" x14ac:dyDescent="0.3">
      <c r="A6" s="204"/>
      <c r="B6" s="262">
        <v>1</v>
      </c>
      <c r="C6" s="263">
        <f>IF(ISNA(VLOOKUP(A6,'Listado de Artículos'!$B$16:$F$1328,5,0)),0,(VLOOKUP(A6,'Listado de Artículos'!$B$16:$F$1328,5,0)))</f>
        <v>0</v>
      </c>
      <c r="D6" s="211">
        <f>B6*C6</f>
        <v>0</v>
      </c>
      <c r="E6" s="281"/>
    </row>
    <row r="7" spans="1:12" ht="12.75" customHeight="1" x14ac:dyDescent="0.3">
      <c r="A7" s="204" t="s">
        <v>158</v>
      </c>
      <c r="B7" s="262">
        <v>1</v>
      </c>
      <c r="C7" s="263">
        <f>IF(ISNA(VLOOKUP(A7,'Listado de Artículos'!$B$16:$F$1328,5,0)),0,(VLOOKUP(A7,'Listado de Artículos'!$B$16:$F$1328,5,0)))</f>
        <v>22.75</v>
      </c>
      <c r="D7" s="211">
        <f>B7*C7</f>
        <v>22.75</v>
      </c>
      <c r="E7" s="281"/>
    </row>
    <row r="8" spans="1:12" ht="12.75" customHeight="1" x14ac:dyDescent="0.3">
      <c r="A8" s="204" t="s">
        <v>48</v>
      </c>
      <c r="B8" s="262">
        <v>0.25</v>
      </c>
      <c r="C8" s="263">
        <f>IF(ISNA(VLOOKUP(A8,'Listado de Artículos'!$B$16:$F$1328,5,0)),0,(VLOOKUP(A8,'Listado de Artículos'!$B$16:$F$1328,5,0)))</f>
        <v>0.8</v>
      </c>
      <c r="D8" s="211">
        <f>B8*C8</f>
        <v>0.2</v>
      </c>
      <c r="E8" s="281"/>
    </row>
    <row r="9" spans="1:12" ht="12.75" customHeight="1" x14ac:dyDescent="0.3">
      <c r="A9" s="204"/>
      <c r="B9" s="271">
        <v>0.25</v>
      </c>
      <c r="C9" s="272">
        <f>IF(ISNA(VLOOKUP(A9,'Listado de Artículos'!$B$16:$F$1328,5,0)),0,(VLOOKUP(A9,'Listado de Artículos'!$B$16:$F$1328,5,0)))</f>
        <v>0</v>
      </c>
      <c r="D9" s="181">
        <f>B9*C9</f>
        <v>0</v>
      </c>
      <c r="E9" s="282"/>
    </row>
    <row r="10" spans="1:12" ht="12.75" customHeight="1" x14ac:dyDescent="0.3">
      <c r="A10" s="200" t="s">
        <v>472</v>
      </c>
      <c r="B10" s="201"/>
      <c r="C10" s="202"/>
      <c r="D10" s="202"/>
      <c r="E10" s="203"/>
    </row>
    <row r="11" spans="1:12" ht="12.75" customHeight="1" x14ac:dyDescent="0.3">
      <c r="A11" s="204"/>
      <c r="B11" s="290">
        <v>15</v>
      </c>
      <c r="C11" s="291">
        <f>IF(ISNA(VLOOKUP(A11,'Listado de Artículos'!$B$16:$F$1328,5,0)),0,(VLOOKUP(A11,'Listado de Artículos'!$B$16:$F$1328,5,0)))</f>
        <v>0</v>
      </c>
      <c r="D11" s="210">
        <f>B11*C11</f>
        <v>0</v>
      </c>
      <c r="E11" s="292"/>
    </row>
    <row r="12" spans="1:12" ht="12.75" customHeight="1" x14ac:dyDescent="0.3">
      <c r="A12" s="204"/>
      <c r="B12" s="262">
        <v>0.125</v>
      </c>
      <c r="C12" s="263">
        <f>IF(ISNA(VLOOKUP(A12,'Listado de Artículos'!$B$16:$F$1328,5,0)),0,(VLOOKUP(A12,'Listado de Artículos'!$B$16:$F$1328,5,0)))</f>
        <v>0</v>
      </c>
      <c r="D12" s="211">
        <f>B12*C12</f>
        <v>0</v>
      </c>
      <c r="E12" s="281"/>
    </row>
    <row r="13" spans="1:12" ht="12.75" customHeight="1" x14ac:dyDescent="0.3">
      <c r="A13" s="200" t="s">
        <v>453</v>
      </c>
      <c r="B13" s="201"/>
      <c r="C13" s="202"/>
      <c r="D13" s="202"/>
      <c r="E13" s="203"/>
    </row>
    <row r="14" spans="1:12" ht="12.75" customHeight="1" x14ac:dyDescent="0.3">
      <c r="A14" s="204"/>
      <c r="B14" s="262">
        <v>1</v>
      </c>
      <c r="C14" s="263">
        <f>IF(ISNA(VLOOKUP(A14,'Listado de Artículos'!$B$16:$F$1328,5,0)),0,(VLOOKUP(A14,'Listado de Artículos'!$B$16:$F$1328,5,0)))</f>
        <v>0</v>
      </c>
      <c r="D14" s="211">
        <f>B14*C14</f>
        <v>0</v>
      </c>
      <c r="E14" s="281"/>
    </row>
    <row r="15" spans="1:12" ht="12.75" customHeight="1" x14ac:dyDescent="0.3">
      <c r="A15" s="204" t="s">
        <v>230</v>
      </c>
      <c r="B15" s="262">
        <v>1</v>
      </c>
      <c r="C15" s="263">
        <f>IF(ISNA(VLOOKUP(A15,'Listado de Artículos'!$B$16:$F$1328,5,0)),0,(VLOOKUP(A15,'Listado de Artículos'!$B$16:$F$1328,5,0)))</f>
        <v>0.54</v>
      </c>
      <c r="D15" s="211">
        <f>B15*C15</f>
        <v>0.54</v>
      </c>
      <c r="E15" s="281"/>
    </row>
    <row r="16" spans="1:12" ht="12.75" customHeight="1" x14ac:dyDescent="0.3">
      <c r="A16" s="204" t="s">
        <v>386</v>
      </c>
      <c r="B16" s="262">
        <v>1</v>
      </c>
      <c r="C16" s="263">
        <f>IF(ISNA(VLOOKUP(A16,'Listado de Artículos'!$B$16:$F$1328,5,0)),0,(VLOOKUP(A16,'Listado de Artículos'!$B$16:$F$1328,5,0)))</f>
        <v>1.5</v>
      </c>
      <c r="D16" s="211">
        <f>B16*C16</f>
        <v>1.5</v>
      </c>
      <c r="E16" s="281"/>
    </row>
    <row r="17" spans="1:8" ht="12.75" customHeight="1" x14ac:dyDescent="0.3">
      <c r="A17" s="204" t="s">
        <v>320</v>
      </c>
      <c r="B17" s="262">
        <v>0.03</v>
      </c>
      <c r="C17" s="263">
        <f>IF(ISNA(VLOOKUP(A17,'Listado de Artículos'!$B$16:$F$1328,5,0)),0,(VLOOKUP(A17,'Listado de Artículos'!$B$16:$F$1328,5,0)))</f>
        <v>3.85</v>
      </c>
      <c r="D17" s="211">
        <f>B17*C17</f>
        <v>0.11549999999999999</v>
      </c>
      <c r="E17" s="281"/>
    </row>
    <row r="18" spans="1:8" ht="12.75" customHeight="1" x14ac:dyDescent="0.3">
      <c r="A18" s="257" t="s">
        <v>388</v>
      </c>
      <c r="B18" s="266">
        <v>1</v>
      </c>
      <c r="C18" s="267">
        <f>IF(ISNA(VLOOKUP(A18,'Listado de Artículos'!$B$16:$F$1328,5,0)),0,(VLOOKUP(A18,'Listado de Artículos'!$B$16:$F$1328,5,0)))</f>
        <v>2</v>
      </c>
      <c r="D18" s="224">
        <f>B18*C18</f>
        <v>2</v>
      </c>
      <c r="E18" s="301"/>
    </row>
    <row r="19" spans="1:8" ht="12.75" customHeight="1" x14ac:dyDescent="0.3">
      <c r="A19" s="200" t="s">
        <v>473</v>
      </c>
      <c r="B19" s="201"/>
      <c r="C19" s="202"/>
      <c r="D19" s="202"/>
      <c r="E19" s="203"/>
    </row>
    <row r="20" spans="1:8" ht="12.75" customHeight="1" x14ac:dyDescent="0.3">
      <c r="A20" s="204"/>
      <c r="B20" s="262">
        <v>1</v>
      </c>
      <c r="C20" s="263">
        <f>IF(ISNA(VLOOKUP(A20,'Listado de Artículos'!$B$16:$F$1328,5,0)),0,(VLOOKUP(A20,'Listado de Artículos'!$B$16:$F$1328,5,0)))</f>
        <v>0</v>
      </c>
      <c r="D20" s="211">
        <f>B20*C20</f>
        <v>0</v>
      </c>
      <c r="E20" s="281"/>
    </row>
    <row r="21" spans="1:8" ht="12.75" customHeight="1" x14ac:dyDescent="0.3">
      <c r="A21" s="204"/>
      <c r="B21" s="262">
        <v>1</v>
      </c>
      <c r="C21" s="263">
        <f>IF(ISNA(VLOOKUP(A21,'Listado de Artículos'!$B$16:$F$1328,5,0)),0,(VLOOKUP(A21,'Listado de Artículos'!$B$16:$F$1328,5,0)))</f>
        <v>0</v>
      </c>
      <c r="D21" s="211">
        <f>B21*C21</f>
        <v>0</v>
      </c>
      <c r="E21" s="281"/>
    </row>
    <row r="22" spans="1:8" ht="12.75" customHeight="1" x14ac:dyDescent="0.3">
      <c r="A22" s="200" t="s">
        <v>454</v>
      </c>
      <c r="B22" s="201"/>
      <c r="C22" s="202"/>
      <c r="D22" s="202"/>
      <c r="E22" s="203"/>
    </row>
    <row r="23" spans="1:8" ht="12.75" customHeight="1" x14ac:dyDescent="0.3">
      <c r="A23" s="204"/>
      <c r="B23" s="262"/>
      <c r="C23" s="263"/>
      <c r="D23" s="211"/>
      <c r="E23" s="281"/>
    </row>
    <row r="24" spans="1:8" ht="12.75" customHeight="1" x14ac:dyDescent="0.3">
      <c r="A24" s="204" t="s">
        <v>179</v>
      </c>
      <c r="B24" s="262">
        <v>1</v>
      </c>
      <c r="C24" s="263">
        <f>IF(ISNA(VLOOKUP(A24,'Listado de Artículos'!$B$16:$F$1328,5,0)),0,(VLOOKUP(A24,'Listado de Artículos'!$B$16:$F$1328,5,0)))</f>
        <v>0.5</v>
      </c>
      <c r="D24" s="211">
        <f>B24*C24</f>
        <v>0.5</v>
      </c>
      <c r="E24" s="281"/>
    </row>
    <row r="25" spans="1:8" ht="12.75" customHeight="1" x14ac:dyDescent="0.3">
      <c r="A25" s="200" t="s">
        <v>454</v>
      </c>
      <c r="B25" s="201"/>
      <c r="C25" s="202"/>
      <c r="D25" s="202"/>
      <c r="E25" s="203"/>
    </row>
    <row r="26" spans="1:8" ht="12.75" customHeight="1" x14ac:dyDescent="0.3">
      <c r="A26" s="204"/>
      <c r="B26" s="262">
        <v>0.25</v>
      </c>
      <c r="C26" s="263">
        <f>IF(ISNA(VLOOKUP(A26,'Listado de Artículos'!$B$16:$F$1328,5,0)),0,(VLOOKUP(A26,'Listado de Artículos'!$B$16:$F$1328,5,0)))</f>
        <v>0</v>
      </c>
      <c r="D26" s="211">
        <f>B26*C26</f>
        <v>0</v>
      </c>
      <c r="E26" s="281"/>
    </row>
    <row r="27" spans="1:8" ht="12.75" customHeight="1" x14ac:dyDescent="0.3">
      <c r="A27" s="204"/>
      <c r="B27" s="262">
        <v>0.15</v>
      </c>
      <c r="C27" s="263">
        <f>IF(ISNA(VLOOKUP(A27,'Listado de Artículos'!$B$16:$F$1328,5,0)),0,(VLOOKUP(A27,'Listado de Artículos'!$B$16:$F$1328,5,0)))</f>
        <v>0</v>
      </c>
      <c r="D27" s="211">
        <f>B27*C27</f>
        <v>0</v>
      </c>
      <c r="E27" s="281"/>
    </row>
    <row r="28" spans="1:8" ht="12.75" customHeight="1" x14ac:dyDescent="0.3">
      <c r="A28" s="204"/>
      <c r="B28" s="262">
        <v>1</v>
      </c>
      <c r="C28" s="263">
        <f>IF(ISNA(VLOOKUP(A28,'Listado de Artículos'!$B$16:$F$1328,5,0)),0,(VLOOKUP(A28,'Listado de Artículos'!$B$16:$F$1328,5,0)))</f>
        <v>0</v>
      </c>
      <c r="D28" s="211">
        <f>B28*C28</f>
        <v>0</v>
      </c>
      <c r="E28" s="281"/>
    </row>
    <row r="29" spans="1:8" ht="12.75" customHeight="1" x14ac:dyDescent="0.3">
      <c r="A29" s="204"/>
      <c r="B29" s="262">
        <v>0.3</v>
      </c>
      <c r="C29" s="263">
        <f>IF(ISNA(VLOOKUP(A29,'Listado de Artículos'!$B$16:$F$1328,5,0)),0,(VLOOKUP(A29,'Listado de Artículos'!$B$16:$F$1328,5,0)))</f>
        <v>0</v>
      </c>
      <c r="D29" s="211">
        <f>B29*C29</f>
        <v>0</v>
      </c>
      <c r="E29" s="281"/>
    </row>
    <row r="30" spans="1:8" ht="12.75" customHeight="1" x14ac:dyDescent="0.3">
      <c r="A30" s="204" t="s">
        <v>123</v>
      </c>
      <c r="B30" s="283"/>
      <c r="C30" s="284"/>
      <c r="D30" s="285"/>
      <c r="E30" s="281"/>
    </row>
    <row r="31" spans="1:8" ht="12.75" customHeight="1" x14ac:dyDescent="0.3">
      <c r="A31" s="205" t="s">
        <v>455</v>
      </c>
      <c r="B31" s="286">
        <v>22</v>
      </c>
      <c r="C31" s="287">
        <f>+B31-(B31*0.1)</f>
        <v>19.8</v>
      </c>
      <c r="D31" s="288">
        <f>SUM(D6:D30)</f>
        <v>27.605499999999999</v>
      </c>
      <c r="E31" s="289">
        <f>(D31*100/C31)/100</f>
        <v>1.3942171717171714</v>
      </c>
      <c r="F31" s="206"/>
      <c r="G31" s="206"/>
      <c r="H31" s="206"/>
    </row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</sheetData>
  <mergeCells count="1">
    <mergeCell ref="A2:F3"/>
  </mergeCells>
  <conditionalFormatting sqref="C30">
    <cfRule type="cellIs" dxfId="11" priority="1" stopIfTrue="1" operator="lessThan">
      <formula>0</formula>
    </cfRule>
    <cfRule type="cellIs" dxfId="10" priority="2" stopIfTrue="1" operator="lessThan">
      <formula>0</formula>
    </cfRule>
    <cfRule type="cellIs" dxfId="9" priority="3" stopIfTrue="1" operator="lessThan">
      <formula>0</formula>
    </cfRule>
  </conditionalFormatting>
  <conditionalFormatting sqref="C31">
    <cfRule type="cellIs" dxfId="8" priority="4" stopIfTrue="1" operator="lessThan">
      <formula>0</formula>
    </cfRule>
  </conditionalFormatting>
  <dataValidations count="1">
    <dataValidation type="list" allowBlank="1" showErrorMessage="1" sqref="A5:A9 A11:A12 A14:A18 A20:A21 A23:A24 A26:A30">
      <formula1>Articulo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1000"/>
  <sheetViews>
    <sheetView workbookViewId="0"/>
  </sheetViews>
  <sheetFormatPr baseColWidth="10" defaultColWidth="12.6640625" defaultRowHeight="15" customHeight="1" x14ac:dyDescent="0.25"/>
  <cols>
    <col min="1" max="1" width="90.6640625" style="302" customWidth="1"/>
    <col min="2" max="2" width="54" style="302" customWidth="1"/>
    <col min="3" max="5" width="11.33203125" style="302" customWidth="1"/>
    <col min="6" max="6" width="12.21875" style="302" customWidth="1"/>
    <col min="7" max="7" width="14.21875" style="302" customWidth="1"/>
    <col min="8" max="12" width="11.33203125" style="302" customWidth="1"/>
    <col min="13" max="26" width="8.6640625" style="302" customWidth="1"/>
  </cols>
  <sheetData>
    <row r="1" spans="1:12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12" ht="12.75" customHeight="1" x14ac:dyDescent="0.25">
      <c r="A2" s="322" t="s">
        <v>471</v>
      </c>
      <c r="B2" s="323"/>
      <c r="C2" s="323"/>
      <c r="D2" s="323"/>
      <c r="E2" s="323"/>
      <c r="F2" s="324"/>
    </row>
    <row r="3" spans="1:12" ht="12.75" customHeight="1" x14ac:dyDescent="0.25">
      <c r="A3" s="325"/>
      <c r="B3" s="326"/>
      <c r="C3" s="326"/>
      <c r="D3" s="326"/>
      <c r="E3" s="326"/>
      <c r="F3" s="327"/>
    </row>
    <row r="4" spans="1:12" ht="12.75" customHeight="1" x14ac:dyDescent="0.3">
      <c r="A4" s="196" t="s">
        <v>444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2" ht="12.75" customHeight="1" x14ac:dyDescent="0.3">
      <c r="A5" s="198" t="s">
        <v>449</v>
      </c>
      <c r="B5" s="279" t="s">
        <v>450</v>
      </c>
      <c r="C5" s="280" t="s">
        <v>451</v>
      </c>
      <c r="D5" s="199" t="s">
        <v>452</v>
      </c>
      <c r="E5" s="281"/>
    </row>
    <row r="6" spans="1:12" ht="12.75" customHeight="1" x14ac:dyDescent="0.3">
      <c r="A6" s="204" t="s">
        <v>76</v>
      </c>
      <c r="B6" s="262">
        <v>1</v>
      </c>
      <c r="C6" s="263">
        <f>IF(ISNA(VLOOKUP(A6,'Listado de Artículos'!$B$16:$F$1328,5,0)),0,(VLOOKUP(A6,'Listado de Artículos'!$B$16:$F$1328,5,0)))</f>
        <v>0.44</v>
      </c>
      <c r="D6" s="211">
        <f>B6*C6</f>
        <v>0.44</v>
      </c>
      <c r="E6" s="281"/>
    </row>
    <row r="7" spans="1:12" ht="12.75" customHeight="1" x14ac:dyDescent="0.3">
      <c r="A7" s="204" t="s">
        <v>229</v>
      </c>
      <c r="B7" s="262">
        <v>1</v>
      </c>
      <c r="C7" s="263">
        <f>IF(ISNA(VLOOKUP(A7,'Listado de Artículos'!$B$16:$F$1328,5,0)),0,(VLOOKUP(A7,'Listado de Artículos'!$B$16:$F$1328,5,0)))</f>
        <v>0.47</v>
      </c>
      <c r="D7" s="211">
        <f>B7*C7</f>
        <v>0.47</v>
      </c>
      <c r="E7" s="281"/>
    </row>
    <row r="8" spans="1:12" ht="12.75" customHeight="1" x14ac:dyDescent="0.3">
      <c r="A8" s="204" t="s">
        <v>48</v>
      </c>
      <c r="B8" s="262">
        <v>0.25</v>
      </c>
      <c r="C8" s="263">
        <f>IF(ISNA(VLOOKUP(A8,'Listado de Artículos'!$B$16:$F$1328,5,0)),0,(VLOOKUP(A8,'Listado de Artículos'!$B$16:$F$1328,5,0)))</f>
        <v>0.8</v>
      </c>
      <c r="D8" s="211">
        <f>B8*C8</f>
        <v>0.2</v>
      </c>
      <c r="E8" s="281"/>
    </row>
    <row r="9" spans="1:12" ht="12.75" customHeight="1" x14ac:dyDescent="0.3">
      <c r="A9" s="204"/>
      <c r="B9" s="271">
        <v>0.35</v>
      </c>
      <c r="C9" s="272">
        <f>IF(ISNA(VLOOKUP(A9,'Listado de Artículos'!$B$16:$F$1328,5,0)),0,(VLOOKUP(A9,'Listado de Artículos'!$B$16:$F$1328,5,0)))</f>
        <v>0</v>
      </c>
      <c r="D9" s="181">
        <f>B9*C9</f>
        <v>0</v>
      </c>
      <c r="E9" s="282"/>
    </row>
    <row r="10" spans="1:12" ht="12.75" customHeight="1" x14ac:dyDescent="0.3">
      <c r="A10" s="200" t="s">
        <v>472</v>
      </c>
      <c r="B10" s="201"/>
      <c r="C10" s="202"/>
      <c r="D10" s="202"/>
      <c r="E10" s="203"/>
    </row>
    <row r="11" spans="1:12" ht="12.75" customHeight="1" x14ac:dyDescent="0.3">
      <c r="A11" s="204" t="s">
        <v>119</v>
      </c>
      <c r="B11" s="290">
        <v>15</v>
      </c>
      <c r="C11" s="291">
        <f>IF(ISNA(VLOOKUP(A11,'Listado de Artículos'!$B$16:$F$1328,5,0)),0,(VLOOKUP(A11,'Listado de Artículos'!$B$16:$F$1328,5,0)))</f>
        <v>0.16</v>
      </c>
      <c r="D11" s="210">
        <f>B11*C11</f>
        <v>2.4</v>
      </c>
      <c r="E11" s="292"/>
    </row>
    <row r="12" spans="1:12" ht="12.75" customHeight="1" x14ac:dyDescent="0.3">
      <c r="A12" s="204" t="s">
        <v>324</v>
      </c>
      <c r="B12" s="262">
        <v>0.125</v>
      </c>
      <c r="C12" s="263">
        <f>IF(ISNA(VLOOKUP(A12,'Listado de Artículos'!$B$16:$F$1328,5,0)),0,(VLOOKUP(A12,'Listado de Artículos'!$B$16:$F$1328,5,0)))</f>
        <v>2.94</v>
      </c>
      <c r="D12" s="211">
        <f>B12*C12</f>
        <v>0.36749999999999999</v>
      </c>
      <c r="E12" s="281"/>
    </row>
    <row r="13" spans="1:12" ht="12.75" customHeight="1" x14ac:dyDescent="0.3">
      <c r="A13" s="200" t="s">
        <v>453</v>
      </c>
      <c r="B13" s="201"/>
      <c r="C13" s="202"/>
      <c r="D13" s="202"/>
      <c r="E13" s="203"/>
    </row>
    <row r="14" spans="1:12" ht="12.75" customHeight="1" x14ac:dyDescent="0.3">
      <c r="A14" s="204" t="s">
        <v>175</v>
      </c>
      <c r="B14" s="262">
        <v>1</v>
      </c>
      <c r="C14" s="263">
        <f>IF(ISNA(VLOOKUP(A14,'Listado de Artículos'!$B$16:$F$1328,5,0)),0,(VLOOKUP(A14,'Listado de Artículos'!$B$16:$F$1328,5,0)))</f>
        <v>0.7</v>
      </c>
      <c r="D14" s="211">
        <f>B14*C14</f>
        <v>0.7</v>
      </c>
      <c r="E14" s="281"/>
    </row>
    <row r="15" spans="1:12" ht="12.75" customHeight="1" x14ac:dyDescent="0.3">
      <c r="A15" s="204" t="s">
        <v>230</v>
      </c>
      <c r="B15" s="262">
        <v>1</v>
      </c>
      <c r="C15" s="263">
        <f>IF(ISNA(VLOOKUP(A15,'Listado de Artículos'!$B$16:$F$1328,5,0)),0,(VLOOKUP(A15,'Listado de Artículos'!$B$16:$F$1328,5,0)))</f>
        <v>0.54</v>
      </c>
      <c r="D15" s="211">
        <f>B15*C15</f>
        <v>0.54</v>
      </c>
      <c r="E15" s="281"/>
    </row>
    <row r="16" spans="1:12" ht="12.75" customHeight="1" x14ac:dyDescent="0.3">
      <c r="A16" s="204" t="s">
        <v>252</v>
      </c>
      <c r="B16" s="262">
        <v>0.8</v>
      </c>
      <c r="C16" s="263">
        <f>IF(ISNA(VLOOKUP(A16,'Listado de Artículos'!$B$16:$F$1328,5,0)),0,(VLOOKUP(A16,'Listado de Artículos'!$B$16:$F$1328,5,0)))</f>
        <v>28.95</v>
      </c>
      <c r="D16" s="211">
        <f>B16*C16</f>
        <v>23.16</v>
      </c>
      <c r="E16" s="281"/>
    </row>
    <row r="17" spans="1:8" ht="12.75" customHeight="1" x14ac:dyDescent="0.3">
      <c r="A17" s="204" t="s">
        <v>320</v>
      </c>
      <c r="B17" s="262">
        <v>0.03</v>
      </c>
      <c r="C17" s="263">
        <f>IF(ISNA(VLOOKUP(A17,'Listado de Artículos'!$B$16:$F$1328,5,0)),0,(VLOOKUP(A17,'Listado de Artículos'!$B$16:$F$1328,5,0)))</f>
        <v>3.85</v>
      </c>
      <c r="D17" s="211">
        <f>B17*C17</f>
        <v>0.11549999999999999</v>
      </c>
      <c r="E17" s="281"/>
    </row>
    <row r="18" spans="1:8" ht="12.75" customHeight="1" x14ac:dyDescent="0.3">
      <c r="A18" s="200" t="s">
        <v>473</v>
      </c>
      <c r="B18" s="201"/>
      <c r="C18" s="202"/>
      <c r="D18" s="202"/>
      <c r="E18" s="203"/>
    </row>
    <row r="19" spans="1:8" ht="12.75" customHeight="1" x14ac:dyDescent="0.3">
      <c r="A19" s="204" t="s">
        <v>366</v>
      </c>
      <c r="B19" s="262">
        <v>1</v>
      </c>
      <c r="C19" s="263">
        <f>IF(ISNA(VLOOKUP(A19,'Listado de Artículos'!$B$16:$F$1328,5,0)),0,(VLOOKUP(A19,'Listado de Artículos'!$B$16:$F$1328,5,0)))</f>
        <v>2.5</v>
      </c>
      <c r="D19" s="211">
        <f>B19*C19</f>
        <v>2.5</v>
      </c>
      <c r="E19" s="281"/>
    </row>
    <row r="20" spans="1:8" ht="12.75" customHeight="1" x14ac:dyDescent="0.3">
      <c r="A20" s="204" t="s">
        <v>226</v>
      </c>
      <c r="B20" s="262">
        <v>1</v>
      </c>
      <c r="C20" s="263">
        <f>IF(ISNA(VLOOKUP(A20,'Listado de Artículos'!$B$16:$F$1328,5,0)),0,(VLOOKUP(A20,'Listado de Artículos'!$B$16:$F$1328,5,0)))</f>
        <v>0.96</v>
      </c>
      <c r="D20" s="211">
        <f>B20*C20</f>
        <v>0.96</v>
      </c>
      <c r="E20" s="281"/>
    </row>
    <row r="21" spans="1:8" ht="12.75" customHeight="1" x14ac:dyDescent="0.3">
      <c r="A21" s="200" t="s">
        <v>454</v>
      </c>
      <c r="B21" s="201"/>
      <c r="C21" s="202"/>
      <c r="D21" s="202"/>
      <c r="E21" s="203"/>
    </row>
    <row r="22" spans="1:8" ht="12.75" customHeight="1" x14ac:dyDescent="0.3">
      <c r="A22" s="204" t="s">
        <v>179</v>
      </c>
      <c r="B22" s="262">
        <v>1</v>
      </c>
      <c r="C22" s="263">
        <f>IF(ISNA(VLOOKUP(A22,'Listado de Artículos'!$B$16:$F$1328,5,0)),0,(VLOOKUP(A22,'Listado de Artículos'!$B$16:$F$1328,5,0)))</f>
        <v>0.5</v>
      </c>
      <c r="D22" s="211">
        <f>B22*C22</f>
        <v>0.5</v>
      </c>
      <c r="E22" s="281"/>
    </row>
    <row r="23" spans="1:8" ht="12.75" customHeight="1" x14ac:dyDescent="0.3">
      <c r="A23" s="204" t="s">
        <v>228</v>
      </c>
      <c r="B23" s="262">
        <v>1</v>
      </c>
      <c r="C23" s="263">
        <f>IF(ISNA(VLOOKUP(A23,'Listado de Artículos'!$B$16:$F$1328,5,0)),0,(VLOOKUP(A23,'Listado de Artículos'!$B$16:$F$1328,5,0)))</f>
        <v>0.37</v>
      </c>
      <c r="D23" s="211">
        <f>B23*C23</f>
        <v>0.37</v>
      </c>
      <c r="E23" s="281"/>
    </row>
    <row r="24" spans="1:8" ht="12.75" customHeight="1" x14ac:dyDescent="0.3">
      <c r="A24" s="200" t="s">
        <v>454</v>
      </c>
      <c r="B24" s="201"/>
      <c r="C24" s="202"/>
      <c r="D24" s="202"/>
      <c r="E24" s="203"/>
    </row>
    <row r="25" spans="1:8" ht="12.75" customHeight="1" x14ac:dyDescent="0.3">
      <c r="A25" s="204" t="s">
        <v>156</v>
      </c>
      <c r="B25" s="262">
        <v>0.25</v>
      </c>
      <c r="C25" s="263">
        <f>IF(ISNA(VLOOKUP(A25,'Listado de Artículos'!$B$16:$F$1328,5,0)),0,(VLOOKUP(A25,'Listado de Artículos'!$B$16:$F$1328,5,0)))</f>
        <v>0.9</v>
      </c>
      <c r="D25" s="211">
        <f>B25*C25</f>
        <v>0.22500000000000001</v>
      </c>
      <c r="E25" s="281"/>
    </row>
    <row r="26" spans="1:8" ht="12.75" customHeight="1" x14ac:dyDescent="0.3">
      <c r="A26" s="204" t="s">
        <v>134</v>
      </c>
      <c r="B26" s="262">
        <v>0.15</v>
      </c>
      <c r="C26" s="263">
        <f>IF(ISNA(VLOOKUP(A26,'Listado de Artículos'!$B$16:$F$1328,5,0)),0,(VLOOKUP(A26,'Listado de Artículos'!$B$16:$F$1328,5,0)))</f>
        <v>0</v>
      </c>
      <c r="D26" s="211">
        <f>B26*C26</f>
        <v>0</v>
      </c>
      <c r="E26" s="281"/>
    </row>
    <row r="27" spans="1:8" ht="12.75" customHeight="1" x14ac:dyDescent="0.3">
      <c r="A27" s="204" t="s">
        <v>123</v>
      </c>
      <c r="B27" s="262">
        <v>1</v>
      </c>
      <c r="C27" s="263">
        <f>IF(ISNA(VLOOKUP(A27,'Listado de Artículos'!$B$16:$F$1328,5,0)),0,(VLOOKUP(A27,'Listado de Artículos'!$B$16:$F$1328,5,0)))</f>
        <v>0.65</v>
      </c>
      <c r="D27" s="211">
        <f>B27*C27</f>
        <v>0.65</v>
      </c>
      <c r="E27" s="281"/>
    </row>
    <row r="28" spans="1:8" ht="12.75" customHeight="1" x14ac:dyDescent="0.3">
      <c r="A28" s="204" t="s">
        <v>48</v>
      </c>
      <c r="B28" s="262">
        <v>0.3</v>
      </c>
      <c r="C28" s="263">
        <f>IF(ISNA(VLOOKUP(A28,'Listado de Artículos'!$B$16:$F$1328,5,0)),0,(VLOOKUP(A28,'Listado de Artículos'!$B$16:$F$1328,5,0)))</f>
        <v>0.8</v>
      </c>
      <c r="D28" s="211">
        <f>B28*C28</f>
        <v>0.24</v>
      </c>
      <c r="E28" s="281"/>
    </row>
    <row r="29" spans="1:8" ht="12.75" customHeight="1" x14ac:dyDescent="0.3">
      <c r="A29" s="204"/>
      <c r="B29" s="283"/>
      <c r="C29" s="284"/>
      <c r="D29" s="285"/>
      <c r="E29" s="281"/>
    </row>
    <row r="30" spans="1:8" ht="12.75" customHeight="1" x14ac:dyDescent="0.3">
      <c r="A30" s="205" t="s">
        <v>455</v>
      </c>
      <c r="B30" s="286">
        <v>45</v>
      </c>
      <c r="C30" s="287">
        <f>+B30-(B30*0.1)</f>
        <v>40.5</v>
      </c>
      <c r="D30" s="288">
        <f>SUM(D6:D29)</f>
        <v>33.838000000000001</v>
      </c>
      <c r="E30" s="289">
        <f>(D30*100/C30)/100</f>
        <v>0.83550617283950612</v>
      </c>
      <c r="F30" s="206"/>
      <c r="G30" s="206"/>
      <c r="H30" s="206"/>
    </row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F3"/>
  </mergeCells>
  <conditionalFormatting sqref="C29">
    <cfRule type="cellIs" dxfId="7" priority="1" stopIfTrue="1" operator="lessThan">
      <formula>0</formula>
    </cfRule>
    <cfRule type="cellIs" dxfId="6" priority="2" stopIfTrue="1" operator="lessThan">
      <formula>0</formula>
    </cfRule>
    <cfRule type="cellIs" dxfId="5" priority="3" stopIfTrue="1" operator="lessThan">
      <formula>0</formula>
    </cfRule>
  </conditionalFormatting>
  <conditionalFormatting sqref="C30">
    <cfRule type="cellIs" dxfId="4" priority="4" stopIfTrue="1" operator="lessThan">
      <formula>0</formula>
    </cfRule>
  </conditionalFormatting>
  <dataValidations count="1">
    <dataValidation type="list" allowBlank="1" showErrorMessage="1" sqref="A5:A9 A11:A12 A14:A17 A19:A20 A22:A23 A25:A29">
      <formula1>Articulo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640625" defaultRowHeight="15" customHeight="1" x14ac:dyDescent="0.25"/>
  <cols>
    <col min="1" max="1" width="8.6640625" style="302" customWidth="1"/>
    <col min="2" max="2" width="46.21875" style="302" customWidth="1"/>
    <col min="3" max="26" width="8.6640625" style="302" customWidth="1"/>
  </cols>
  <sheetData>
    <row r="1" spans="1:26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26" ht="12.75" customHeight="1" x14ac:dyDescent="0.3">
      <c r="A2" s="167"/>
      <c r="B2" s="166"/>
      <c r="C2" s="303" t="s">
        <v>405</v>
      </c>
      <c r="D2" s="304"/>
      <c r="E2" s="304"/>
      <c r="F2" s="304"/>
      <c r="G2" s="304"/>
      <c r="H2" s="304"/>
      <c r="I2" s="304"/>
      <c r="J2" s="304"/>
      <c r="K2" s="305"/>
      <c r="L2" s="166"/>
      <c r="M2" s="167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spans="1:26" ht="12.75" customHeight="1" x14ac:dyDescent="0.3">
      <c r="A3" s="167"/>
      <c r="B3" s="166"/>
      <c r="C3" s="316" t="s">
        <v>406</v>
      </c>
      <c r="D3" s="304"/>
      <c r="E3" s="304"/>
      <c r="F3" s="304"/>
      <c r="G3" s="304"/>
      <c r="H3" s="304"/>
      <c r="I3" s="304"/>
      <c r="J3" s="304"/>
      <c r="K3" s="305"/>
      <c r="L3" s="166"/>
      <c r="M3" s="167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spans="1:26" ht="12.75" customHeight="1" x14ac:dyDescent="0.3">
      <c r="A4" s="167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7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spans="1:26" ht="12.75" customHeight="1" x14ac:dyDescent="0.3">
      <c r="A5" s="167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7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spans="1:26" ht="12.75" customHeight="1" x14ac:dyDescent="0.3">
      <c r="A6" s="167"/>
      <c r="B6" s="167"/>
      <c r="C6" s="168" t="s">
        <v>407</v>
      </c>
      <c r="D6" s="309" t="s">
        <v>436</v>
      </c>
      <c r="E6" s="310"/>
      <c r="F6" s="310"/>
      <c r="G6" s="310"/>
      <c r="H6" s="310"/>
      <c r="I6" s="310"/>
      <c r="J6" s="310"/>
      <c r="K6" s="310"/>
      <c r="L6" s="166"/>
      <c r="M6" s="167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spans="1:26" ht="12.75" customHeight="1" x14ac:dyDescent="0.3">
      <c r="A7" s="169"/>
      <c r="B7" s="169"/>
      <c r="C7" s="170" t="s">
        <v>409</v>
      </c>
      <c r="D7" s="311" t="s">
        <v>410</v>
      </c>
      <c r="E7" s="312"/>
      <c r="F7" s="312"/>
      <c r="G7" s="313"/>
      <c r="H7" s="319"/>
      <c r="I7" s="315"/>
      <c r="J7" s="307"/>
      <c r="K7" s="308"/>
      <c r="L7" s="167"/>
      <c r="M7" s="167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spans="1:26" ht="12.75" customHeight="1" x14ac:dyDescent="0.3">
      <c r="A8" s="167"/>
      <c r="B8" s="166"/>
      <c r="C8" s="171" t="s">
        <v>415</v>
      </c>
      <c r="D8" s="194">
        <v>15</v>
      </c>
      <c r="E8" s="317" t="s">
        <v>412</v>
      </c>
      <c r="F8" s="318"/>
      <c r="G8" s="172">
        <f>SUM(K11:K22)</f>
        <v>346.63800000000003</v>
      </c>
      <c r="H8" s="314" t="s">
        <v>437</v>
      </c>
      <c r="I8" s="315"/>
      <c r="J8" s="261">
        <f>G8/D8</f>
        <v>23.109200000000001</v>
      </c>
      <c r="K8" s="270"/>
      <c r="L8" s="166"/>
      <c r="M8" s="167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spans="1:26" ht="12.75" customHeight="1" x14ac:dyDescent="0.3">
      <c r="A9" s="167"/>
      <c r="B9" s="174"/>
      <c r="C9" s="174"/>
      <c r="D9" s="174"/>
      <c r="E9" s="174"/>
      <c r="F9" s="174"/>
      <c r="G9" s="174"/>
      <c r="H9" s="174"/>
      <c r="I9" s="174"/>
      <c r="J9" s="166"/>
      <c r="K9" s="166"/>
      <c r="L9" s="166"/>
      <c r="M9" s="167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spans="1:26" ht="12.75" customHeight="1" x14ac:dyDescent="0.3">
      <c r="A10" s="167"/>
      <c r="B10" s="175" t="s">
        <v>414</v>
      </c>
      <c r="C10" s="219" t="s">
        <v>415</v>
      </c>
      <c r="D10" s="219" t="s">
        <v>416</v>
      </c>
      <c r="E10" s="219" t="s">
        <v>417</v>
      </c>
      <c r="F10" s="219" t="s">
        <v>418</v>
      </c>
      <c r="G10" s="219" t="s">
        <v>419</v>
      </c>
      <c r="H10" s="219" t="s">
        <v>420</v>
      </c>
      <c r="I10" s="219" t="s">
        <v>421</v>
      </c>
      <c r="J10" s="219" t="s">
        <v>422</v>
      </c>
      <c r="K10" s="220" t="s">
        <v>423</v>
      </c>
      <c r="L10" s="166"/>
      <c r="M10" s="167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spans="1:26" ht="12.75" customHeight="1" x14ac:dyDescent="0.3">
      <c r="A11" s="167"/>
      <c r="B11" s="192" t="s">
        <v>347</v>
      </c>
      <c r="C11" s="262">
        <v>12</v>
      </c>
      <c r="D11" s="263">
        <f>IF(ISNA(VLOOKUP(B11,'Listado de Artículos'!$B$16:$F$1328,5,0)),0,(VLOOKUP(B11,'Listado de Artículos'!$B$16:$F$1328,5,0)))</f>
        <v>13.9</v>
      </c>
      <c r="E11" s="262">
        <v>1</v>
      </c>
      <c r="F11" s="262">
        <v>1</v>
      </c>
      <c r="G11" s="264">
        <f t="shared" ref="G11:G22" si="0">IF(E11&gt;0,(F11/E11),"")</f>
        <v>1</v>
      </c>
      <c r="H11" s="264">
        <f t="shared" ref="H11:H22" si="1">IF(E11&gt;0,(100%-G11),"")</f>
        <v>0</v>
      </c>
      <c r="I11" s="265">
        <f t="shared" ref="I11:I22" si="2">IF(C11&gt;0,(H11*C11/G11),"")</f>
        <v>0</v>
      </c>
      <c r="J11" s="265">
        <f t="shared" ref="J11:J22" si="3">IF(C11&gt;0,(C11+I11),"")</f>
        <v>12</v>
      </c>
      <c r="K11" s="211">
        <f t="shared" ref="K11:K22" si="4">IF(D11&gt;0,(D11*J11),"")</f>
        <v>166.8</v>
      </c>
      <c r="L11" s="166"/>
      <c r="M11" s="167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spans="1:26" ht="12.75" customHeight="1" x14ac:dyDescent="0.3">
      <c r="A12" s="167"/>
      <c r="B12" s="177" t="s">
        <v>57</v>
      </c>
      <c r="C12" s="262">
        <v>1.4</v>
      </c>
      <c r="D12" s="263">
        <f>IF(ISNA(VLOOKUP(B12,'Listado de Artículos'!$B$16:$F$1328,5,0)),0,(VLOOKUP(B12,'Listado de Artículos'!$B$16:$F$1328,5,0)))</f>
        <v>2</v>
      </c>
      <c r="E12" s="262">
        <v>1</v>
      </c>
      <c r="F12" s="262">
        <v>1</v>
      </c>
      <c r="G12" s="264">
        <f t="shared" si="0"/>
        <v>1</v>
      </c>
      <c r="H12" s="264">
        <f t="shared" si="1"/>
        <v>0</v>
      </c>
      <c r="I12" s="265">
        <f t="shared" si="2"/>
        <v>0</v>
      </c>
      <c r="J12" s="265">
        <f t="shared" si="3"/>
        <v>1.4</v>
      </c>
      <c r="K12" s="211">
        <f t="shared" si="4"/>
        <v>2.8</v>
      </c>
      <c r="L12" s="166"/>
      <c r="M12" s="167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spans="1:26" ht="12.75" customHeight="1" x14ac:dyDescent="0.3">
      <c r="A13" s="167"/>
      <c r="B13" s="177" t="s">
        <v>41</v>
      </c>
      <c r="C13" s="262">
        <v>3</v>
      </c>
      <c r="D13" s="263">
        <f>IF(ISNA(VLOOKUP(B13,'Listado de Artículos'!$B$16:$F$1328,5,0)),0,(VLOOKUP(B13,'Listado de Artículos'!$B$16:$F$1328,5,0)))</f>
        <v>5.95</v>
      </c>
      <c r="E13" s="262">
        <v>1</v>
      </c>
      <c r="F13" s="262">
        <v>1</v>
      </c>
      <c r="G13" s="264">
        <f t="shared" si="0"/>
        <v>1</v>
      </c>
      <c r="H13" s="264">
        <f t="shared" si="1"/>
        <v>0</v>
      </c>
      <c r="I13" s="265">
        <f t="shared" si="2"/>
        <v>0</v>
      </c>
      <c r="J13" s="265">
        <f t="shared" si="3"/>
        <v>3</v>
      </c>
      <c r="K13" s="211">
        <f t="shared" si="4"/>
        <v>17.850000000000001</v>
      </c>
      <c r="L13" s="166"/>
      <c r="M13" s="167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spans="1:26" ht="12.75" customHeight="1" x14ac:dyDescent="0.3">
      <c r="A14" s="167"/>
      <c r="B14" s="177" t="s">
        <v>43</v>
      </c>
      <c r="C14" s="262">
        <v>3</v>
      </c>
      <c r="D14" s="263">
        <f>IF(ISNA(VLOOKUP(B14,'Listado de Artículos'!$B$16:$F$1328,5,0)),0,(VLOOKUP(B14,'Listado de Artículos'!$B$16:$F$1328,5,0)))</f>
        <v>8.9700000000000006</v>
      </c>
      <c r="E14" s="262">
        <v>1</v>
      </c>
      <c r="F14" s="262">
        <v>1</v>
      </c>
      <c r="G14" s="264">
        <f t="shared" si="0"/>
        <v>1</v>
      </c>
      <c r="H14" s="264">
        <f t="shared" si="1"/>
        <v>0</v>
      </c>
      <c r="I14" s="265">
        <f t="shared" si="2"/>
        <v>0</v>
      </c>
      <c r="J14" s="265">
        <f t="shared" si="3"/>
        <v>3</v>
      </c>
      <c r="K14" s="211">
        <f t="shared" si="4"/>
        <v>26.910000000000004</v>
      </c>
      <c r="L14" s="166"/>
      <c r="M14" s="167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spans="1:26" ht="12.75" customHeight="1" x14ac:dyDescent="0.3">
      <c r="A15" s="167"/>
      <c r="B15" s="177" t="s">
        <v>66</v>
      </c>
      <c r="C15" s="262">
        <v>1.5</v>
      </c>
      <c r="D15" s="263">
        <f>IF(ISNA(VLOOKUP(B15,'Listado de Artículos'!$B$16:$F$1328,5,0)),0,(VLOOKUP(B15,'Listado de Artículos'!$B$16:$F$1328,5,0)))</f>
        <v>85.56</v>
      </c>
      <c r="E15" s="262">
        <v>1</v>
      </c>
      <c r="F15" s="262">
        <v>1</v>
      </c>
      <c r="G15" s="264">
        <f t="shared" si="0"/>
        <v>1</v>
      </c>
      <c r="H15" s="264">
        <f t="shared" si="1"/>
        <v>0</v>
      </c>
      <c r="I15" s="265">
        <f t="shared" si="2"/>
        <v>0</v>
      </c>
      <c r="J15" s="265">
        <f t="shared" si="3"/>
        <v>1.5</v>
      </c>
      <c r="K15" s="211">
        <f t="shared" si="4"/>
        <v>128.34</v>
      </c>
      <c r="L15" s="166"/>
      <c r="M15" s="167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spans="1:26" ht="12.75" customHeight="1" x14ac:dyDescent="0.3">
      <c r="A16" s="167"/>
      <c r="B16" s="177" t="s">
        <v>85</v>
      </c>
      <c r="C16" s="262">
        <v>1.5</v>
      </c>
      <c r="D16" s="263">
        <f>IF(ISNA(VLOOKUP(B16,'Listado de Artículos'!$B$16:$F$1328,5,0)),0,(VLOOKUP(B16,'Listado de Artículos'!$B$16:$F$1328,5,0)))</f>
        <v>1.1499999999999999</v>
      </c>
      <c r="E16" s="262">
        <v>1</v>
      </c>
      <c r="F16" s="262">
        <v>1</v>
      </c>
      <c r="G16" s="264">
        <f t="shared" si="0"/>
        <v>1</v>
      </c>
      <c r="H16" s="264">
        <f t="shared" si="1"/>
        <v>0</v>
      </c>
      <c r="I16" s="265">
        <f t="shared" si="2"/>
        <v>0</v>
      </c>
      <c r="J16" s="265">
        <f t="shared" si="3"/>
        <v>1.5</v>
      </c>
      <c r="K16" s="211">
        <f t="shared" si="4"/>
        <v>1.7249999999999999</v>
      </c>
      <c r="L16" s="166"/>
      <c r="M16" s="167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spans="1:26" ht="12.75" customHeight="1" x14ac:dyDescent="0.3">
      <c r="A17" s="167"/>
      <c r="B17" s="177" t="s">
        <v>291</v>
      </c>
      <c r="C17" s="262">
        <v>2.5000000000000001E-2</v>
      </c>
      <c r="D17" s="263">
        <f>IF(ISNA(VLOOKUP(B17,'Listado de Artículos'!$B$16:$F$1328,5,0)),0,(VLOOKUP(B17,'Listado de Artículos'!$B$16:$F$1328,5,0)))</f>
        <v>23</v>
      </c>
      <c r="E17" s="262">
        <v>1</v>
      </c>
      <c r="F17" s="262">
        <v>1</v>
      </c>
      <c r="G17" s="264">
        <f t="shared" si="0"/>
        <v>1</v>
      </c>
      <c r="H17" s="264">
        <f t="shared" si="1"/>
        <v>0</v>
      </c>
      <c r="I17" s="265">
        <f t="shared" si="2"/>
        <v>0</v>
      </c>
      <c r="J17" s="265">
        <f t="shared" si="3"/>
        <v>2.5000000000000001E-2</v>
      </c>
      <c r="K17" s="211">
        <f t="shared" si="4"/>
        <v>0.57500000000000007</v>
      </c>
      <c r="L17" s="166"/>
      <c r="M17" s="167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spans="1:26" ht="12.75" customHeight="1" x14ac:dyDescent="0.3">
      <c r="A18" s="167"/>
      <c r="B18" s="177" t="s">
        <v>355</v>
      </c>
      <c r="C18" s="262">
        <v>0.25</v>
      </c>
      <c r="D18" s="263">
        <f>IF(ISNA(VLOOKUP(B18,'Listado de Artículos'!$B$16:$F$1328,5,0)),0,(VLOOKUP(B18,'Listado de Artículos'!$B$16:$F$1328,5,0)))</f>
        <v>1</v>
      </c>
      <c r="E18" s="262">
        <v>1</v>
      </c>
      <c r="F18" s="262">
        <v>1</v>
      </c>
      <c r="G18" s="264">
        <f t="shared" si="0"/>
        <v>1</v>
      </c>
      <c r="H18" s="264">
        <f t="shared" si="1"/>
        <v>0</v>
      </c>
      <c r="I18" s="265">
        <f t="shared" si="2"/>
        <v>0</v>
      </c>
      <c r="J18" s="265">
        <f t="shared" si="3"/>
        <v>0.25</v>
      </c>
      <c r="K18" s="211">
        <f t="shared" si="4"/>
        <v>0.25</v>
      </c>
      <c r="L18" s="166"/>
      <c r="M18" s="167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spans="1:26" ht="12.75" customHeight="1" x14ac:dyDescent="0.3">
      <c r="A19" s="167"/>
      <c r="B19" s="177" t="s">
        <v>354</v>
      </c>
      <c r="C19" s="262">
        <v>0.05</v>
      </c>
      <c r="D19" s="263">
        <f>IF(ISNA(VLOOKUP(B19,'Listado de Artículos'!$B$16:$F$1328,5,0)),0,(VLOOKUP(B19,'Listado de Artículos'!$B$16:$F$1328,5,0)))</f>
        <v>4.5</v>
      </c>
      <c r="E19" s="262">
        <v>1</v>
      </c>
      <c r="F19" s="262">
        <v>1</v>
      </c>
      <c r="G19" s="264">
        <f t="shared" si="0"/>
        <v>1</v>
      </c>
      <c r="H19" s="264">
        <f t="shared" si="1"/>
        <v>0</v>
      </c>
      <c r="I19" s="265">
        <f t="shared" si="2"/>
        <v>0</v>
      </c>
      <c r="J19" s="265">
        <f t="shared" si="3"/>
        <v>0.05</v>
      </c>
      <c r="K19" s="211">
        <f t="shared" si="4"/>
        <v>0.22500000000000001</v>
      </c>
      <c r="L19" s="166"/>
      <c r="M19" s="167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spans="1:26" ht="12.75" customHeight="1" x14ac:dyDescent="0.3">
      <c r="A20" s="167"/>
      <c r="B20" s="177" t="s">
        <v>135</v>
      </c>
      <c r="C20" s="262">
        <v>0.01</v>
      </c>
      <c r="D20" s="263">
        <f>IF(ISNA(VLOOKUP(B20,'Listado de Artículos'!$B$16:$F$1328,5,0)),0,(VLOOKUP(B20,'Listado de Artículos'!$B$16:$F$1328,5,0)))</f>
        <v>1.55</v>
      </c>
      <c r="E20" s="262">
        <v>1</v>
      </c>
      <c r="F20" s="262">
        <v>1</v>
      </c>
      <c r="G20" s="264">
        <f t="shared" si="0"/>
        <v>1</v>
      </c>
      <c r="H20" s="264">
        <f t="shared" si="1"/>
        <v>0</v>
      </c>
      <c r="I20" s="265">
        <f t="shared" si="2"/>
        <v>0</v>
      </c>
      <c r="J20" s="265">
        <f t="shared" si="3"/>
        <v>0.01</v>
      </c>
      <c r="K20" s="211">
        <f t="shared" si="4"/>
        <v>1.5500000000000002E-2</v>
      </c>
      <c r="L20" s="166"/>
      <c r="M20" s="167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spans="1:26" ht="12.75" customHeight="1" x14ac:dyDescent="0.3">
      <c r="A21" s="167"/>
      <c r="B21" s="177" t="s">
        <v>316</v>
      </c>
      <c r="C21" s="262">
        <v>0.06</v>
      </c>
      <c r="D21" s="263">
        <f>IF(ISNA(VLOOKUP(B21,'Listado de Artículos'!$B$16:$F$1328,5,0)),0,(VLOOKUP(B21,'Listado de Artículos'!$B$16:$F$1328,5,0)))</f>
        <v>3.5</v>
      </c>
      <c r="E21" s="262">
        <v>1</v>
      </c>
      <c r="F21" s="262">
        <v>1</v>
      </c>
      <c r="G21" s="264">
        <f t="shared" si="0"/>
        <v>1</v>
      </c>
      <c r="H21" s="264">
        <f t="shared" si="1"/>
        <v>0</v>
      </c>
      <c r="I21" s="265">
        <f t="shared" si="2"/>
        <v>0</v>
      </c>
      <c r="J21" s="265">
        <f t="shared" si="3"/>
        <v>0.06</v>
      </c>
      <c r="K21" s="211">
        <f t="shared" si="4"/>
        <v>0.21</v>
      </c>
      <c r="L21" s="166"/>
      <c r="M21" s="167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spans="1:26" ht="12.75" customHeight="1" x14ac:dyDescent="0.3">
      <c r="A22" s="167"/>
      <c r="B22" s="177" t="s">
        <v>125</v>
      </c>
      <c r="C22" s="262">
        <v>0.05</v>
      </c>
      <c r="D22" s="263">
        <f>IF(ISNA(VLOOKUP(B22,'Listado de Artículos'!$B$16:$F$1328,5,0)),0,(VLOOKUP(B22,'Listado de Artículos'!$B$16:$F$1328,5,0)))</f>
        <v>18.75</v>
      </c>
      <c r="E22" s="262">
        <v>1</v>
      </c>
      <c r="F22" s="262">
        <v>1</v>
      </c>
      <c r="G22" s="264">
        <f t="shared" si="0"/>
        <v>1</v>
      </c>
      <c r="H22" s="264">
        <f t="shared" si="1"/>
        <v>0</v>
      </c>
      <c r="I22" s="265">
        <f t="shared" si="2"/>
        <v>0</v>
      </c>
      <c r="J22" s="265">
        <f t="shared" si="3"/>
        <v>0.05</v>
      </c>
      <c r="K22" s="211">
        <f t="shared" si="4"/>
        <v>0.9375</v>
      </c>
      <c r="L22" s="166"/>
      <c r="M22" s="167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 spans="1:26" ht="12.75" customHeight="1" x14ac:dyDescent="0.3">
      <c r="A23" s="164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4"/>
    </row>
    <row r="24" spans="1:26" ht="12.75" customHeight="1" x14ac:dyDescent="0.25">
      <c r="A24" s="225" t="s">
        <v>176</v>
      </c>
    </row>
    <row r="25" spans="1:26" ht="12.75" customHeight="1" x14ac:dyDescent="0.25"/>
    <row r="26" spans="1:26" ht="12.75" customHeight="1" x14ac:dyDescent="0.25"/>
    <row r="27" spans="1:26" ht="12.75" customHeight="1" x14ac:dyDescent="0.3">
      <c r="A27" s="164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4"/>
    </row>
    <row r="28" spans="1:26" ht="12.75" customHeight="1" x14ac:dyDescent="0.3">
      <c r="A28" s="167"/>
      <c r="B28" s="166"/>
      <c r="C28" s="303" t="s">
        <v>405</v>
      </c>
      <c r="D28" s="304"/>
      <c r="E28" s="304"/>
      <c r="F28" s="304"/>
      <c r="G28" s="304"/>
      <c r="H28" s="304"/>
      <c r="I28" s="304"/>
      <c r="J28" s="304"/>
      <c r="K28" s="305"/>
      <c r="L28" s="166"/>
    </row>
    <row r="29" spans="1:26" ht="12.75" customHeight="1" x14ac:dyDescent="0.3">
      <c r="A29" s="167"/>
      <c r="B29" s="166"/>
      <c r="C29" s="316" t="s">
        <v>406</v>
      </c>
      <c r="D29" s="304"/>
      <c r="E29" s="304"/>
      <c r="F29" s="304"/>
      <c r="G29" s="304"/>
      <c r="H29" s="304"/>
      <c r="I29" s="304"/>
      <c r="J29" s="304"/>
      <c r="K29" s="305"/>
      <c r="L29" s="166"/>
    </row>
    <row r="30" spans="1:26" ht="12.75" customHeight="1" x14ac:dyDescent="0.3">
      <c r="A30" s="167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</row>
    <row r="31" spans="1:26" ht="12.75" customHeight="1" x14ac:dyDescent="0.3">
      <c r="A31" s="167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</row>
    <row r="32" spans="1:26" ht="12.75" customHeight="1" x14ac:dyDescent="0.3">
      <c r="A32" s="167"/>
      <c r="B32" s="167"/>
      <c r="C32" s="168" t="s">
        <v>407</v>
      </c>
      <c r="D32" s="309" t="s">
        <v>436</v>
      </c>
      <c r="E32" s="310"/>
      <c r="F32" s="310"/>
      <c r="G32" s="310"/>
      <c r="H32" s="310"/>
      <c r="I32" s="310"/>
      <c r="J32" s="310"/>
      <c r="K32" s="310"/>
      <c r="L32" s="166"/>
    </row>
    <row r="33" spans="1:12" ht="12.75" customHeight="1" x14ac:dyDescent="0.3">
      <c r="A33" s="169"/>
      <c r="B33" s="169"/>
      <c r="C33" s="170" t="s">
        <v>409</v>
      </c>
      <c r="D33" s="311" t="s">
        <v>410</v>
      </c>
      <c r="E33" s="312"/>
      <c r="F33" s="312"/>
      <c r="G33" s="313"/>
      <c r="H33" s="319"/>
      <c r="I33" s="315"/>
      <c r="J33" s="307"/>
      <c r="K33" s="308"/>
      <c r="L33" s="167"/>
    </row>
    <row r="34" spans="1:12" ht="12.75" customHeight="1" x14ac:dyDescent="0.3">
      <c r="A34" s="167"/>
      <c r="B34" s="166"/>
      <c r="C34" s="171" t="s">
        <v>415</v>
      </c>
      <c r="D34" s="194">
        <v>1</v>
      </c>
      <c r="E34" s="317" t="s">
        <v>412</v>
      </c>
      <c r="F34" s="318"/>
      <c r="G34" s="172">
        <f>SUM(K37:K48)</f>
        <v>2.3224999999999998</v>
      </c>
      <c r="H34" s="314" t="s">
        <v>437</v>
      </c>
      <c r="I34" s="315"/>
      <c r="J34" s="261">
        <f>G34/D34</f>
        <v>2.3224999999999998</v>
      </c>
      <c r="K34" s="270"/>
      <c r="L34" s="166"/>
    </row>
    <row r="35" spans="1:12" ht="12.75" customHeight="1" x14ac:dyDescent="0.3">
      <c r="A35" s="167"/>
      <c r="B35" s="174"/>
      <c r="C35" s="174"/>
      <c r="D35" s="174"/>
      <c r="E35" s="174"/>
      <c r="F35" s="174"/>
      <c r="G35" s="174"/>
      <c r="H35" s="174"/>
      <c r="I35" s="174"/>
      <c r="J35" s="166"/>
      <c r="K35" s="166"/>
      <c r="L35" s="166"/>
    </row>
    <row r="36" spans="1:12" ht="12.75" customHeight="1" x14ac:dyDescent="0.3">
      <c r="A36" s="167"/>
      <c r="B36" s="175" t="s">
        <v>414</v>
      </c>
      <c r="C36" s="219" t="s">
        <v>415</v>
      </c>
      <c r="D36" s="219" t="s">
        <v>416</v>
      </c>
      <c r="E36" s="219" t="s">
        <v>417</v>
      </c>
      <c r="F36" s="219" t="s">
        <v>418</v>
      </c>
      <c r="G36" s="219" t="s">
        <v>419</v>
      </c>
      <c r="H36" s="219" t="s">
        <v>420</v>
      </c>
      <c r="I36" s="219" t="s">
        <v>421</v>
      </c>
      <c r="J36" s="219" t="s">
        <v>422</v>
      </c>
      <c r="K36" s="220" t="s">
        <v>423</v>
      </c>
      <c r="L36" s="166"/>
    </row>
    <row r="37" spans="1:12" ht="12.75" customHeight="1" x14ac:dyDescent="0.3">
      <c r="A37" s="167"/>
      <c r="B37" s="192" t="s">
        <v>105</v>
      </c>
      <c r="C37" s="262">
        <v>0.18</v>
      </c>
      <c r="D37" s="263">
        <f>IF(ISNA(VLOOKUP(B37,'Listado de Artículos'!$B$16:$F$1328,5,0)),0,(VLOOKUP(B37,'Listado de Artículos'!$B$16:$F$1328,5,0)))</f>
        <v>6.15</v>
      </c>
      <c r="E37" s="262">
        <v>1</v>
      </c>
      <c r="F37" s="262">
        <v>1</v>
      </c>
      <c r="G37" s="264">
        <f t="shared" ref="G37:G48" si="5">IF(E37&gt;0,(F37/E37),"")</f>
        <v>1</v>
      </c>
      <c r="H37" s="264">
        <f t="shared" ref="H37:H48" si="6">IF(E37&gt;0,(100%-G37),"")</f>
        <v>0</v>
      </c>
      <c r="I37" s="265">
        <f t="shared" ref="I37:I48" si="7">IF(C37&gt;0,(H37*C37/G37),"")</f>
        <v>0</v>
      </c>
      <c r="J37" s="265">
        <f t="shared" ref="J37:J48" si="8">IF(C37&gt;0,(C37+I37),"")</f>
        <v>0.18</v>
      </c>
      <c r="K37" s="211">
        <f t="shared" ref="K37:K48" si="9">IF(D37&gt;0,(D37*J37),"")</f>
        <v>1.107</v>
      </c>
      <c r="L37" s="166"/>
    </row>
    <row r="38" spans="1:12" ht="12.75" customHeight="1" x14ac:dyDescent="0.3">
      <c r="A38" s="167"/>
      <c r="B38" s="177" t="s">
        <v>253</v>
      </c>
      <c r="C38" s="262">
        <v>0.15</v>
      </c>
      <c r="D38" s="263">
        <f>IF(ISNA(VLOOKUP(B38,'Listado de Artículos'!$B$16:$F$1328,5,0)),0,(VLOOKUP(B38,'Listado de Artículos'!$B$16:$F$1328,5,0)))</f>
        <v>0.2</v>
      </c>
      <c r="E38" s="262">
        <v>1</v>
      </c>
      <c r="F38" s="262">
        <v>1</v>
      </c>
      <c r="G38" s="264">
        <f t="shared" si="5"/>
        <v>1</v>
      </c>
      <c r="H38" s="264">
        <f t="shared" si="6"/>
        <v>0</v>
      </c>
      <c r="I38" s="265">
        <f t="shared" si="7"/>
        <v>0</v>
      </c>
      <c r="J38" s="265">
        <f t="shared" si="8"/>
        <v>0.15</v>
      </c>
      <c r="K38" s="211">
        <f t="shared" si="9"/>
        <v>0.03</v>
      </c>
      <c r="L38" s="166"/>
    </row>
    <row r="39" spans="1:12" ht="12.75" customHeight="1" x14ac:dyDescent="0.3">
      <c r="A39" s="167"/>
      <c r="B39" s="177" t="s">
        <v>284</v>
      </c>
      <c r="C39" s="262">
        <v>0.05</v>
      </c>
      <c r="D39" s="263">
        <f>IF(ISNA(VLOOKUP(B39,'Listado de Artículos'!$B$16:$F$1328,5,0)),0,(VLOOKUP(B39,'Listado de Artículos'!$B$16:$F$1328,5,0)))</f>
        <v>23.71</v>
      </c>
      <c r="E39" s="262">
        <v>1</v>
      </c>
      <c r="F39" s="262">
        <v>1</v>
      </c>
      <c r="G39" s="264">
        <f t="shared" si="5"/>
        <v>1</v>
      </c>
      <c r="H39" s="264">
        <f t="shared" si="6"/>
        <v>0</v>
      </c>
      <c r="I39" s="265">
        <f t="shared" si="7"/>
        <v>0</v>
      </c>
      <c r="J39" s="265">
        <f t="shared" si="8"/>
        <v>0.05</v>
      </c>
      <c r="K39" s="211">
        <f t="shared" si="9"/>
        <v>1.1855</v>
      </c>
      <c r="L39" s="166"/>
    </row>
    <row r="40" spans="1:12" ht="12.75" customHeight="1" x14ac:dyDescent="0.3">
      <c r="A40" s="167"/>
      <c r="B40" s="177"/>
      <c r="C40" s="262">
        <v>3</v>
      </c>
      <c r="D40" s="263">
        <f>IF(ISNA(VLOOKUP(B40,'Listado de Artículos'!$B$16:$F$1328,5,0)),0,(VLOOKUP(B40,'Listado de Artículos'!$B$16:$F$1328,5,0)))</f>
        <v>0</v>
      </c>
      <c r="E40" s="262">
        <v>1</v>
      </c>
      <c r="F40" s="262">
        <v>1</v>
      </c>
      <c r="G40" s="264">
        <f t="shared" si="5"/>
        <v>1</v>
      </c>
      <c r="H40" s="264">
        <f t="shared" si="6"/>
        <v>0</v>
      </c>
      <c r="I40" s="265">
        <f t="shared" si="7"/>
        <v>0</v>
      </c>
      <c r="J40" s="265">
        <f t="shared" si="8"/>
        <v>3</v>
      </c>
      <c r="K40" s="211" t="str">
        <f t="shared" si="9"/>
        <v/>
      </c>
      <c r="L40" s="166"/>
    </row>
    <row r="41" spans="1:12" ht="12.75" customHeight="1" x14ac:dyDescent="0.3">
      <c r="A41" s="167"/>
      <c r="B41" s="177"/>
      <c r="C41" s="262">
        <v>1.5</v>
      </c>
      <c r="D41" s="263">
        <f>IF(ISNA(VLOOKUP(B41,'Listado de Artículos'!$B$16:$F$1328,5,0)),0,(VLOOKUP(B41,'Listado de Artículos'!$B$16:$F$1328,5,0)))</f>
        <v>0</v>
      </c>
      <c r="E41" s="262">
        <v>1</v>
      </c>
      <c r="F41" s="262">
        <v>1</v>
      </c>
      <c r="G41" s="264">
        <f t="shared" si="5"/>
        <v>1</v>
      </c>
      <c r="H41" s="264">
        <f t="shared" si="6"/>
        <v>0</v>
      </c>
      <c r="I41" s="265">
        <f t="shared" si="7"/>
        <v>0</v>
      </c>
      <c r="J41" s="265">
        <f t="shared" si="8"/>
        <v>1.5</v>
      </c>
      <c r="K41" s="211" t="str">
        <f t="shared" si="9"/>
        <v/>
      </c>
      <c r="L41" s="166"/>
    </row>
    <row r="42" spans="1:12" ht="12.75" customHeight="1" x14ac:dyDescent="0.3">
      <c r="A42" s="167"/>
      <c r="B42" s="177"/>
      <c r="C42" s="262">
        <v>1.5</v>
      </c>
      <c r="D42" s="263">
        <f>IF(ISNA(VLOOKUP(B42,'Listado de Artículos'!$B$16:$F$1328,5,0)),0,(VLOOKUP(B42,'Listado de Artículos'!$B$16:$F$1328,5,0)))</f>
        <v>0</v>
      </c>
      <c r="E42" s="262">
        <v>1</v>
      </c>
      <c r="F42" s="262">
        <v>1</v>
      </c>
      <c r="G42" s="264">
        <f t="shared" si="5"/>
        <v>1</v>
      </c>
      <c r="H42" s="264">
        <f t="shared" si="6"/>
        <v>0</v>
      </c>
      <c r="I42" s="265">
        <f t="shared" si="7"/>
        <v>0</v>
      </c>
      <c r="J42" s="265">
        <f t="shared" si="8"/>
        <v>1.5</v>
      </c>
      <c r="K42" s="211" t="str">
        <f t="shared" si="9"/>
        <v/>
      </c>
      <c r="L42" s="166"/>
    </row>
    <row r="43" spans="1:12" ht="12.75" customHeight="1" x14ac:dyDescent="0.3">
      <c r="A43" s="167"/>
      <c r="B43" s="177"/>
      <c r="C43" s="262">
        <v>2.5000000000000001E-2</v>
      </c>
      <c r="D43" s="263">
        <f>IF(ISNA(VLOOKUP(B43,'Listado de Artículos'!$B$16:$F$1328,5,0)),0,(VLOOKUP(B43,'Listado de Artículos'!$B$16:$F$1328,5,0)))</f>
        <v>0</v>
      </c>
      <c r="E43" s="262">
        <v>1</v>
      </c>
      <c r="F43" s="262">
        <v>1</v>
      </c>
      <c r="G43" s="264">
        <f t="shared" si="5"/>
        <v>1</v>
      </c>
      <c r="H43" s="264">
        <f t="shared" si="6"/>
        <v>0</v>
      </c>
      <c r="I43" s="265">
        <f t="shared" si="7"/>
        <v>0</v>
      </c>
      <c r="J43" s="265">
        <f t="shared" si="8"/>
        <v>2.5000000000000001E-2</v>
      </c>
      <c r="K43" s="211" t="str">
        <f t="shared" si="9"/>
        <v/>
      </c>
      <c r="L43" s="166"/>
    </row>
    <row r="44" spans="1:12" ht="12.75" customHeight="1" x14ac:dyDescent="0.3">
      <c r="A44" s="167"/>
      <c r="B44" s="177"/>
      <c r="C44" s="262">
        <v>0.25</v>
      </c>
      <c r="D44" s="263">
        <f>IF(ISNA(VLOOKUP(B44,'Listado de Artículos'!$B$16:$F$1328,5,0)),0,(VLOOKUP(B44,'Listado de Artículos'!$B$16:$F$1328,5,0)))</f>
        <v>0</v>
      </c>
      <c r="E44" s="262">
        <v>1</v>
      </c>
      <c r="F44" s="262">
        <v>1</v>
      </c>
      <c r="G44" s="264">
        <f t="shared" si="5"/>
        <v>1</v>
      </c>
      <c r="H44" s="264">
        <f t="shared" si="6"/>
        <v>0</v>
      </c>
      <c r="I44" s="265">
        <f t="shared" si="7"/>
        <v>0</v>
      </c>
      <c r="J44" s="265">
        <f t="shared" si="8"/>
        <v>0.25</v>
      </c>
      <c r="K44" s="211" t="str">
        <f t="shared" si="9"/>
        <v/>
      </c>
      <c r="L44" s="166"/>
    </row>
    <row r="45" spans="1:12" ht="12.75" customHeight="1" x14ac:dyDescent="0.3">
      <c r="A45" s="167"/>
      <c r="B45" s="177"/>
      <c r="C45" s="262">
        <v>0.05</v>
      </c>
      <c r="D45" s="263">
        <f>IF(ISNA(VLOOKUP(B45,'Listado de Artículos'!$B$16:$F$1328,5,0)),0,(VLOOKUP(B45,'Listado de Artículos'!$B$16:$F$1328,5,0)))</f>
        <v>0</v>
      </c>
      <c r="E45" s="262">
        <v>1</v>
      </c>
      <c r="F45" s="262">
        <v>1</v>
      </c>
      <c r="G45" s="264">
        <f t="shared" si="5"/>
        <v>1</v>
      </c>
      <c r="H45" s="264">
        <f t="shared" si="6"/>
        <v>0</v>
      </c>
      <c r="I45" s="265">
        <f t="shared" si="7"/>
        <v>0</v>
      </c>
      <c r="J45" s="265">
        <f t="shared" si="8"/>
        <v>0.05</v>
      </c>
      <c r="K45" s="211" t="str">
        <f t="shared" si="9"/>
        <v/>
      </c>
      <c r="L45" s="166"/>
    </row>
    <row r="46" spans="1:12" ht="12.75" customHeight="1" x14ac:dyDescent="0.3">
      <c r="A46" s="167"/>
      <c r="B46" s="177"/>
      <c r="C46" s="262">
        <v>0.01</v>
      </c>
      <c r="D46" s="263">
        <f>IF(ISNA(VLOOKUP(B46,'Listado de Artículos'!$B$16:$F$1328,5,0)),0,(VLOOKUP(B46,'Listado de Artículos'!$B$16:$F$1328,5,0)))</f>
        <v>0</v>
      </c>
      <c r="E46" s="262">
        <v>1</v>
      </c>
      <c r="F46" s="262">
        <v>1</v>
      </c>
      <c r="G46" s="264">
        <f t="shared" si="5"/>
        <v>1</v>
      </c>
      <c r="H46" s="264">
        <f t="shared" si="6"/>
        <v>0</v>
      </c>
      <c r="I46" s="265">
        <f t="shared" si="7"/>
        <v>0</v>
      </c>
      <c r="J46" s="265">
        <f t="shared" si="8"/>
        <v>0.01</v>
      </c>
      <c r="K46" s="211" t="str">
        <f t="shared" si="9"/>
        <v/>
      </c>
      <c r="L46" s="166"/>
    </row>
    <row r="47" spans="1:12" ht="12.75" customHeight="1" x14ac:dyDescent="0.3">
      <c r="A47" s="167"/>
      <c r="B47" s="177"/>
      <c r="C47" s="262">
        <v>0.06</v>
      </c>
      <c r="D47" s="263">
        <f>IF(ISNA(VLOOKUP(B47,'Listado de Artículos'!$B$16:$F$1328,5,0)),0,(VLOOKUP(B47,'Listado de Artículos'!$B$16:$F$1328,5,0)))</f>
        <v>0</v>
      </c>
      <c r="E47" s="262">
        <v>1</v>
      </c>
      <c r="F47" s="262">
        <v>1</v>
      </c>
      <c r="G47" s="264">
        <f t="shared" si="5"/>
        <v>1</v>
      </c>
      <c r="H47" s="264">
        <f t="shared" si="6"/>
        <v>0</v>
      </c>
      <c r="I47" s="265">
        <f t="shared" si="7"/>
        <v>0</v>
      </c>
      <c r="J47" s="265">
        <f t="shared" si="8"/>
        <v>0.06</v>
      </c>
      <c r="K47" s="211" t="str">
        <f t="shared" si="9"/>
        <v/>
      </c>
      <c r="L47" s="166"/>
    </row>
    <row r="48" spans="1:12" ht="12.75" customHeight="1" x14ac:dyDescent="0.3">
      <c r="A48" s="167"/>
      <c r="B48" s="177"/>
      <c r="C48" s="262">
        <v>0.05</v>
      </c>
      <c r="D48" s="263">
        <f>IF(ISNA(VLOOKUP(B48,'Listado de Artículos'!$B$16:$F$1328,5,0)),0,(VLOOKUP(B48,'Listado de Artículos'!$B$16:$F$1328,5,0)))</f>
        <v>0</v>
      </c>
      <c r="E48" s="262">
        <v>1</v>
      </c>
      <c r="F48" s="262">
        <v>1</v>
      </c>
      <c r="G48" s="264">
        <f t="shared" si="5"/>
        <v>1</v>
      </c>
      <c r="H48" s="264">
        <f t="shared" si="6"/>
        <v>0</v>
      </c>
      <c r="I48" s="265">
        <f t="shared" si="7"/>
        <v>0</v>
      </c>
      <c r="J48" s="265">
        <f t="shared" si="8"/>
        <v>0.05</v>
      </c>
      <c r="K48" s="211" t="str">
        <f t="shared" si="9"/>
        <v/>
      </c>
      <c r="L48" s="166"/>
    </row>
    <row r="49" spans="1:12" ht="12.75" customHeight="1" x14ac:dyDescent="0.3">
      <c r="A49" s="164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4"/>
    </row>
    <row r="50" spans="1:12" ht="12.75" customHeight="1" x14ac:dyDescent="0.25">
      <c r="A50" s="225" t="s">
        <v>176</v>
      </c>
    </row>
    <row r="51" spans="1:12" ht="12.75" customHeight="1" x14ac:dyDescent="0.25"/>
    <row r="52" spans="1:12" ht="12.75" customHeight="1" x14ac:dyDescent="0.25"/>
    <row r="53" spans="1:12" ht="12.75" customHeight="1" x14ac:dyDescent="0.25"/>
    <row r="54" spans="1:12" ht="12.75" customHeight="1" x14ac:dyDescent="0.25"/>
    <row r="55" spans="1:12" ht="12.75" customHeight="1" x14ac:dyDescent="0.25"/>
    <row r="56" spans="1:12" ht="12.75" customHeight="1" x14ac:dyDescent="0.25"/>
    <row r="57" spans="1:12" ht="12.75" customHeight="1" x14ac:dyDescent="0.25"/>
    <row r="58" spans="1:12" ht="12.75" customHeight="1" x14ac:dyDescent="0.25"/>
    <row r="59" spans="1:12" ht="12.75" customHeight="1" x14ac:dyDescent="0.25"/>
    <row r="60" spans="1:12" ht="12.75" customHeight="1" x14ac:dyDescent="0.25"/>
    <row r="61" spans="1:12" ht="12.75" customHeight="1" x14ac:dyDescent="0.25"/>
    <row r="62" spans="1:12" ht="12.75" customHeight="1" x14ac:dyDescent="0.25"/>
    <row r="63" spans="1:12" ht="12.75" customHeight="1" x14ac:dyDescent="0.25"/>
    <row r="64" spans="1:12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6">
    <mergeCell ref="C28:K28"/>
    <mergeCell ref="H34:I34"/>
    <mergeCell ref="C29:K29"/>
    <mergeCell ref="C2:K2"/>
    <mergeCell ref="H7:I7"/>
    <mergeCell ref="D6:K6"/>
    <mergeCell ref="D33:G33"/>
    <mergeCell ref="C3:K3"/>
    <mergeCell ref="J7:K7"/>
    <mergeCell ref="H8:I8"/>
    <mergeCell ref="H33:I33"/>
    <mergeCell ref="J33:K33"/>
    <mergeCell ref="E34:F34"/>
    <mergeCell ref="D32:K32"/>
    <mergeCell ref="D7:G7"/>
    <mergeCell ref="E8:F8"/>
  </mergeCells>
  <dataValidations count="1">
    <dataValidation type="list" allowBlank="1" showErrorMessage="1" sqref="B11:B22 B37:B48">
      <formula1>Articulo</formula1>
    </dataValidation>
  </dataValidation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00"/>
  <sheetViews>
    <sheetView workbookViewId="0"/>
  </sheetViews>
  <sheetFormatPr baseColWidth="10" defaultColWidth="12.6640625" defaultRowHeight="15" customHeight="1" x14ac:dyDescent="0.25"/>
  <cols>
    <col min="1" max="1" width="8.6640625" style="302" customWidth="1"/>
    <col min="2" max="2" width="48.77734375" style="302" customWidth="1"/>
    <col min="3" max="3" width="13" style="302" customWidth="1"/>
    <col min="4" max="4" width="13.6640625" style="302" customWidth="1"/>
    <col min="5" max="6" width="8.6640625" style="302" customWidth="1"/>
    <col min="7" max="7" width="7.109375" style="302" customWidth="1"/>
    <col min="8" max="8" width="10.21875" style="302" customWidth="1"/>
    <col min="9" max="9" width="14.33203125" style="302" customWidth="1"/>
    <col min="10" max="10" width="15.33203125" style="302" customWidth="1"/>
    <col min="11" max="26" width="8.6640625" style="302" customWidth="1"/>
  </cols>
  <sheetData>
    <row r="1" spans="1:26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26" ht="12.75" customHeight="1" x14ac:dyDescent="0.3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spans="1:26" ht="12.75" customHeight="1" x14ac:dyDescent="0.3">
      <c r="A3" s="167"/>
      <c r="B3" s="166"/>
      <c r="C3" s="303" t="s">
        <v>591</v>
      </c>
      <c r="D3" s="304"/>
      <c r="E3" s="304"/>
      <c r="F3" s="304"/>
      <c r="G3" s="304"/>
      <c r="H3" s="304"/>
      <c r="I3" s="304"/>
      <c r="J3" s="304"/>
      <c r="K3" s="305"/>
      <c r="L3" s="166"/>
      <c r="M3" s="167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spans="1:26" ht="12.75" customHeight="1" x14ac:dyDescent="0.3">
      <c r="A4" s="167"/>
      <c r="B4" s="166"/>
      <c r="C4" s="316" t="s">
        <v>406</v>
      </c>
      <c r="D4" s="304"/>
      <c r="E4" s="304"/>
      <c r="F4" s="304"/>
      <c r="G4" s="304"/>
      <c r="H4" s="304"/>
      <c r="I4" s="304"/>
      <c r="J4" s="304"/>
      <c r="K4" s="305"/>
      <c r="L4" s="166"/>
      <c r="M4" s="167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spans="1:26" ht="12.75" customHeight="1" x14ac:dyDescent="0.3">
      <c r="A5" s="167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7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spans="1:26" ht="12.75" customHeight="1" x14ac:dyDescent="0.3">
      <c r="A6" s="167"/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7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spans="1:26" ht="12.75" customHeight="1" x14ac:dyDescent="0.3">
      <c r="A7" s="167"/>
      <c r="B7" s="167"/>
      <c r="C7" s="168" t="s">
        <v>407</v>
      </c>
      <c r="D7" s="309" t="s">
        <v>592</v>
      </c>
      <c r="E7" s="310"/>
      <c r="F7" s="310"/>
      <c r="G7" s="310"/>
      <c r="H7" s="310"/>
      <c r="I7" s="310"/>
      <c r="J7" s="310"/>
      <c r="K7" s="310"/>
      <c r="L7" s="166"/>
      <c r="M7" s="167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spans="1:26" ht="12.75" customHeight="1" x14ac:dyDescent="0.3">
      <c r="A8" s="169"/>
      <c r="B8" s="169"/>
      <c r="C8" s="170" t="s">
        <v>409</v>
      </c>
      <c r="D8" s="311" t="s">
        <v>410</v>
      </c>
      <c r="E8" s="312"/>
      <c r="F8" s="312"/>
      <c r="G8" s="313"/>
      <c r="H8" s="321"/>
      <c r="I8" s="308"/>
      <c r="J8" s="320"/>
      <c r="K8" s="308"/>
      <c r="L8" s="167"/>
      <c r="M8" s="167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spans="1:26" ht="12.75" customHeight="1" x14ac:dyDescent="0.3">
      <c r="A9" s="167"/>
      <c r="B9" s="166"/>
      <c r="C9" s="171" t="s">
        <v>411</v>
      </c>
      <c r="D9" s="260">
        <v>1</v>
      </c>
      <c r="E9" s="317" t="s">
        <v>412</v>
      </c>
      <c r="F9" s="318"/>
      <c r="G9" s="172">
        <f>SUM(K12:K19)</f>
        <v>0.41420000000000001</v>
      </c>
      <c r="H9" s="314" t="s">
        <v>413</v>
      </c>
      <c r="I9" s="315"/>
      <c r="J9" s="261">
        <f>G9/D9</f>
        <v>0.41420000000000001</v>
      </c>
      <c r="K9" s="173"/>
      <c r="L9" s="166"/>
      <c r="M9" s="167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spans="1:26" ht="12.75" customHeight="1" x14ac:dyDescent="0.3">
      <c r="A10" s="167"/>
      <c r="B10" s="174"/>
      <c r="C10" s="174"/>
      <c r="D10" s="174"/>
      <c r="E10" s="174"/>
      <c r="F10" s="174"/>
      <c r="G10" s="174"/>
      <c r="H10" s="174"/>
      <c r="I10" s="174"/>
      <c r="J10" s="166"/>
      <c r="K10" s="166"/>
      <c r="L10" s="166"/>
      <c r="M10" s="167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spans="1:26" ht="12.75" customHeight="1" x14ac:dyDescent="0.3">
      <c r="A11" s="167"/>
      <c r="B11" s="175" t="s">
        <v>414</v>
      </c>
      <c r="C11" s="219" t="s">
        <v>415</v>
      </c>
      <c r="D11" s="219" t="s">
        <v>416</v>
      </c>
      <c r="E11" s="219" t="s">
        <v>417</v>
      </c>
      <c r="F11" s="219" t="s">
        <v>418</v>
      </c>
      <c r="G11" s="219" t="s">
        <v>419</v>
      </c>
      <c r="H11" s="219" t="s">
        <v>420</v>
      </c>
      <c r="I11" s="219" t="s">
        <v>421</v>
      </c>
      <c r="J11" s="219" t="s">
        <v>422</v>
      </c>
      <c r="K11" s="220" t="s">
        <v>423</v>
      </c>
      <c r="L11" s="166"/>
      <c r="M11" s="167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spans="1:26" ht="12.75" customHeight="1" x14ac:dyDescent="0.3">
      <c r="A12" s="167"/>
      <c r="B12" s="178" t="s">
        <v>307</v>
      </c>
      <c r="C12" s="262">
        <v>1.4999999999999999E-2</v>
      </c>
      <c r="D12" s="263">
        <f>IF(ISNA(VLOOKUP(B12,'Listado de Artículos'!$B$16:$F$1328,5,0)),0,(VLOOKUP(B12,'Listado de Artículos'!$B$16:$F$1328,5,0)))</f>
        <v>0.01</v>
      </c>
      <c r="E12" s="262">
        <v>1</v>
      </c>
      <c r="F12" s="262">
        <v>1</v>
      </c>
      <c r="G12" s="264">
        <f t="shared" ref="G12:G19" si="0">IF(E12&gt;0,(F12/E12),"")</f>
        <v>1</v>
      </c>
      <c r="H12" s="264">
        <f t="shared" ref="H12:H19" si="1">IF(E12&gt;0,(100%-G12),"")</f>
        <v>0</v>
      </c>
      <c r="I12" s="265">
        <f t="shared" ref="I12:I19" si="2">IF(C12&gt;0,(H12*C12/G12),"")</f>
        <v>0</v>
      </c>
      <c r="J12" s="265">
        <f t="shared" ref="J12:J19" si="3">IF(C12&gt;0,(C12+I12),"")</f>
        <v>1.4999999999999999E-2</v>
      </c>
      <c r="K12" s="211">
        <f t="shared" ref="K12:K19" si="4">IF(D12&gt;0,(D12*J12),"")</f>
        <v>1.4999999999999999E-4</v>
      </c>
      <c r="L12" s="166"/>
      <c r="M12" s="167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spans="1:26" ht="12.75" customHeight="1" x14ac:dyDescent="0.3">
      <c r="A13" s="167"/>
      <c r="B13" s="177" t="s">
        <v>309</v>
      </c>
      <c r="C13" s="262">
        <v>5.0000000000000001E-3</v>
      </c>
      <c r="D13" s="263">
        <f>IF(ISNA(VLOOKUP(B13,'Listado de Artículos'!$B$16:$F$1328,5,0)),0,(VLOOKUP(B13,'Listado de Artículos'!$B$16:$F$1328,5,0)))</f>
        <v>15.75</v>
      </c>
      <c r="E13" s="262">
        <v>1</v>
      </c>
      <c r="F13" s="262">
        <v>1</v>
      </c>
      <c r="G13" s="264">
        <f t="shared" si="0"/>
        <v>1</v>
      </c>
      <c r="H13" s="264">
        <f t="shared" si="1"/>
        <v>0</v>
      </c>
      <c r="I13" s="265">
        <f t="shared" si="2"/>
        <v>0</v>
      </c>
      <c r="J13" s="265">
        <f t="shared" si="3"/>
        <v>5.0000000000000001E-3</v>
      </c>
      <c r="K13" s="211">
        <f t="shared" si="4"/>
        <v>7.8750000000000001E-2</v>
      </c>
      <c r="L13" s="166"/>
      <c r="M13" s="167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spans="1:26" ht="12.75" customHeight="1" x14ac:dyDescent="0.3">
      <c r="A14" s="167"/>
      <c r="B14" s="177" t="s">
        <v>306</v>
      </c>
      <c r="C14" s="262">
        <v>5.0000000000000001E-3</v>
      </c>
      <c r="D14" s="263">
        <f>IF(ISNA(VLOOKUP(B14,'Listado de Artículos'!$B$16:$F$1328,5,0)),0,(VLOOKUP(B14,'Listado de Artículos'!$B$16:$F$1328,5,0)))</f>
        <v>2.95</v>
      </c>
      <c r="E14" s="262">
        <v>1</v>
      </c>
      <c r="F14" s="262">
        <v>1</v>
      </c>
      <c r="G14" s="264">
        <f t="shared" si="0"/>
        <v>1</v>
      </c>
      <c r="H14" s="264">
        <f t="shared" si="1"/>
        <v>0</v>
      </c>
      <c r="I14" s="265">
        <f t="shared" si="2"/>
        <v>0</v>
      </c>
      <c r="J14" s="265">
        <f t="shared" si="3"/>
        <v>5.0000000000000001E-3</v>
      </c>
      <c r="K14" s="211">
        <f t="shared" si="4"/>
        <v>1.4750000000000001E-2</v>
      </c>
      <c r="L14" s="166"/>
      <c r="M14" s="167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spans="1:26" ht="12.75" customHeight="1" x14ac:dyDescent="0.3">
      <c r="A15" s="167"/>
      <c r="B15" s="177" t="s">
        <v>305</v>
      </c>
      <c r="C15" s="262">
        <v>0.01</v>
      </c>
      <c r="D15" s="263">
        <f>IF(ISNA(VLOOKUP(B15,'Listado de Artículos'!$B$16:$F$1328,5,0)),0,(VLOOKUP(B15,'Listado de Artículos'!$B$16:$F$1328,5,0)))</f>
        <v>0.03</v>
      </c>
      <c r="E15" s="262">
        <v>1</v>
      </c>
      <c r="F15" s="262">
        <v>1</v>
      </c>
      <c r="G15" s="264">
        <f t="shared" si="0"/>
        <v>1</v>
      </c>
      <c r="H15" s="264">
        <f t="shared" si="1"/>
        <v>0</v>
      </c>
      <c r="I15" s="265">
        <f t="shared" si="2"/>
        <v>0</v>
      </c>
      <c r="J15" s="265">
        <f t="shared" si="3"/>
        <v>0.01</v>
      </c>
      <c r="K15" s="211">
        <f t="shared" si="4"/>
        <v>2.9999999999999997E-4</v>
      </c>
      <c r="L15" s="166"/>
      <c r="M15" s="167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spans="1:26" ht="12.75" customHeight="1" x14ac:dyDescent="0.3">
      <c r="A16" s="167"/>
      <c r="B16" s="177" t="s">
        <v>319</v>
      </c>
      <c r="C16" s="262">
        <v>5.0000000000000001E-3</v>
      </c>
      <c r="D16" s="263">
        <f>IF(ISNA(VLOOKUP(B16,'Listado de Artículos'!$B$16:$F$1328,5,0)),0,(VLOOKUP(B16,'Listado de Artículos'!$B$16:$F$1328,5,0)))</f>
        <v>13.54</v>
      </c>
      <c r="E16" s="262">
        <v>1</v>
      </c>
      <c r="F16" s="262">
        <v>1</v>
      </c>
      <c r="G16" s="264">
        <f t="shared" si="0"/>
        <v>1</v>
      </c>
      <c r="H16" s="264">
        <f t="shared" si="1"/>
        <v>0</v>
      </c>
      <c r="I16" s="265">
        <f t="shared" si="2"/>
        <v>0</v>
      </c>
      <c r="J16" s="265">
        <f t="shared" si="3"/>
        <v>5.0000000000000001E-3</v>
      </c>
      <c r="K16" s="211">
        <f t="shared" si="4"/>
        <v>6.7699999999999996E-2</v>
      </c>
      <c r="L16" s="166"/>
      <c r="M16" s="167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spans="1:26" ht="12.75" customHeight="1" x14ac:dyDescent="0.3">
      <c r="A17" s="167"/>
      <c r="B17" s="177" t="s">
        <v>233</v>
      </c>
      <c r="C17" s="262">
        <v>5.0000000000000001E-3</v>
      </c>
      <c r="D17" s="263">
        <f>IF(ISNA(VLOOKUP(B17,'Listado de Artículos'!$B$16:$F$1328,5,0)),0,(VLOOKUP(B17,'Listado de Artículos'!$B$16:$F$1328,5,0)))</f>
        <v>7.41</v>
      </c>
      <c r="E17" s="262">
        <v>1</v>
      </c>
      <c r="F17" s="262">
        <v>1</v>
      </c>
      <c r="G17" s="264">
        <f t="shared" si="0"/>
        <v>1</v>
      </c>
      <c r="H17" s="264">
        <f t="shared" si="1"/>
        <v>0</v>
      </c>
      <c r="I17" s="265">
        <f t="shared" si="2"/>
        <v>0</v>
      </c>
      <c r="J17" s="265">
        <f t="shared" si="3"/>
        <v>5.0000000000000001E-3</v>
      </c>
      <c r="K17" s="211">
        <f t="shared" si="4"/>
        <v>3.705E-2</v>
      </c>
      <c r="L17" s="166"/>
      <c r="M17" s="167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spans="1:26" ht="12.75" customHeight="1" x14ac:dyDescent="0.3">
      <c r="A18" s="167"/>
      <c r="B18" s="177" t="s">
        <v>267</v>
      </c>
      <c r="C18" s="262">
        <v>0.01</v>
      </c>
      <c r="D18" s="263">
        <f>IF(ISNA(VLOOKUP(B18,'Listado de Artículos'!$B$16:$F$1328,5,0)),0,(VLOOKUP(B18,'Listado de Artículos'!$B$16:$F$1328,5,0)))</f>
        <v>15.8</v>
      </c>
      <c r="E18" s="262">
        <v>1</v>
      </c>
      <c r="F18" s="262">
        <v>1</v>
      </c>
      <c r="G18" s="264">
        <f t="shared" si="0"/>
        <v>1</v>
      </c>
      <c r="H18" s="264">
        <f t="shared" si="1"/>
        <v>0</v>
      </c>
      <c r="I18" s="265">
        <f t="shared" si="2"/>
        <v>0</v>
      </c>
      <c r="J18" s="265">
        <f t="shared" si="3"/>
        <v>0.01</v>
      </c>
      <c r="K18" s="211">
        <f t="shared" si="4"/>
        <v>0.158</v>
      </c>
      <c r="L18" s="166"/>
      <c r="M18" s="167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spans="1:26" ht="12.75" customHeight="1" x14ac:dyDescent="0.3">
      <c r="A19" s="167"/>
      <c r="B19" s="177" t="s">
        <v>192</v>
      </c>
      <c r="C19" s="262">
        <v>5.0000000000000001E-3</v>
      </c>
      <c r="D19" s="263">
        <f>IF(ISNA(VLOOKUP(B19,'Listado de Artículos'!$B$16:$F$1328,5,0)),0,(VLOOKUP(B19,'Listado de Artículos'!$B$16:$F$1328,5,0)))</f>
        <v>11.5</v>
      </c>
      <c r="E19" s="262">
        <v>1</v>
      </c>
      <c r="F19" s="262">
        <v>1</v>
      </c>
      <c r="G19" s="264">
        <f t="shared" si="0"/>
        <v>1</v>
      </c>
      <c r="H19" s="264">
        <f t="shared" si="1"/>
        <v>0</v>
      </c>
      <c r="I19" s="265">
        <f t="shared" si="2"/>
        <v>0</v>
      </c>
      <c r="J19" s="265">
        <f t="shared" si="3"/>
        <v>5.0000000000000001E-3</v>
      </c>
      <c r="K19" s="211">
        <f t="shared" si="4"/>
        <v>5.7500000000000002E-2</v>
      </c>
      <c r="L19" s="166"/>
      <c r="M19" s="167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spans="1:26" ht="12.75" customHeight="1" x14ac:dyDescent="0.3">
      <c r="A20" s="167"/>
      <c r="B20" s="174"/>
      <c r="C20" s="306">
        <v>0</v>
      </c>
      <c r="D20" s="304"/>
      <c r="E20" s="304"/>
      <c r="F20" s="304"/>
      <c r="G20" s="304"/>
      <c r="H20" s="304"/>
      <c r="I20" s="304"/>
      <c r="J20" s="166"/>
      <c r="K20" s="166"/>
      <c r="L20" s="166"/>
      <c r="M20" s="167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spans="1:26" ht="12.75" customHeight="1" x14ac:dyDescent="0.3">
      <c r="A21" s="164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4"/>
    </row>
    <row r="22" spans="1:26" ht="12.75" customHeight="1" x14ac:dyDescent="0.3">
      <c r="A22" s="164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4"/>
    </row>
    <row r="23" spans="1:26" ht="12.75" customHeight="1" x14ac:dyDescent="0.3">
      <c r="A23" s="166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 spans="1:26" ht="12.75" customHeight="1" x14ac:dyDescent="0.3">
      <c r="A24" s="167"/>
      <c r="B24" s="166"/>
      <c r="C24" s="303" t="s">
        <v>591</v>
      </c>
      <c r="D24" s="304"/>
      <c r="E24" s="304"/>
      <c r="F24" s="304"/>
      <c r="G24" s="304"/>
      <c r="H24" s="304"/>
      <c r="I24" s="304"/>
      <c r="J24" s="304"/>
      <c r="K24" s="305"/>
      <c r="L24" s="166"/>
      <c r="M24" s="167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 spans="1:26" ht="12.75" customHeight="1" x14ac:dyDescent="0.3">
      <c r="A25" s="167"/>
      <c r="B25" s="166"/>
      <c r="C25" s="316" t="s">
        <v>406</v>
      </c>
      <c r="D25" s="304"/>
      <c r="E25" s="304"/>
      <c r="F25" s="304"/>
      <c r="G25" s="304"/>
      <c r="H25" s="304"/>
      <c r="I25" s="304"/>
      <c r="J25" s="304"/>
      <c r="K25" s="305"/>
      <c r="L25" s="166"/>
      <c r="M25" s="167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 spans="1:26" ht="12.75" customHeight="1" x14ac:dyDescent="0.3">
      <c r="A26" s="167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7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 spans="1:26" ht="12.75" customHeight="1" x14ac:dyDescent="0.3">
      <c r="A27" s="167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7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spans="1:26" ht="12.75" customHeight="1" x14ac:dyDescent="0.3">
      <c r="A28" s="167"/>
      <c r="B28" s="167"/>
      <c r="C28" s="168" t="s">
        <v>407</v>
      </c>
      <c r="D28" s="309" t="s">
        <v>593</v>
      </c>
      <c r="E28" s="310"/>
      <c r="F28" s="310"/>
      <c r="G28" s="310"/>
      <c r="H28" s="310"/>
      <c r="I28" s="310"/>
      <c r="J28" s="310"/>
      <c r="K28" s="310"/>
      <c r="L28" s="166"/>
      <c r="M28" s="167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spans="1:26" ht="12.75" customHeight="1" x14ac:dyDescent="0.3">
      <c r="A29" s="169"/>
      <c r="B29" s="169"/>
      <c r="C29" s="170" t="s">
        <v>409</v>
      </c>
      <c r="D29" s="311" t="s">
        <v>410</v>
      </c>
      <c r="E29" s="312"/>
      <c r="F29" s="312"/>
      <c r="G29" s="313"/>
      <c r="H29" s="319" t="s">
        <v>459</v>
      </c>
      <c r="I29" s="315"/>
      <c r="J29" s="328"/>
      <c r="K29" s="308"/>
      <c r="L29" s="167"/>
      <c r="M29" s="167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spans="1:26" ht="12.75" customHeight="1" x14ac:dyDescent="0.3">
      <c r="A30" s="167"/>
      <c r="B30" s="166"/>
      <c r="C30" s="171" t="s">
        <v>430</v>
      </c>
      <c r="D30" s="260">
        <v>1</v>
      </c>
      <c r="E30" s="317" t="s">
        <v>412</v>
      </c>
      <c r="F30" s="318"/>
      <c r="G30" s="172">
        <f>SUM(K33:K34)</f>
        <v>0.31997222222222221</v>
      </c>
      <c r="H30" s="314" t="s">
        <v>460</v>
      </c>
      <c r="I30" s="315"/>
      <c r="J30" s="261">
        <f>G30/D30</f>
        <v>0.31997222222222221</v>
      </c>
      <c r="K30" s="173"/>
      <c r="L30" s="166"/>
      <c r="M30" s="167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spans="1:26" ht="12.75" customHeight="1" x14ac:dyDescent="0.3">
      <c r="A31" s="167"/>
      <c r="B31" s="174"/>
      <c r="C31" s="174"/>
      <c r="D31" s="174"/>
      <c r="E31" s="174"/>
      <c r="F31" s="174"/>
      <c r="G31" s="174"/>
      <c r="H31" s="174"/>
      <c r="I31" s="174"/>
      <c r="J31" s="166"/>
      <c r="K31" s="166"/>
      <c r="L31" s="166"/>
      <c r="M31" s="167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 spans="1:26" ht="12.75" customHeight="1" x14ac:dyDescent="0.3">
      <c r="A32" s="167"/>
      <c r="B32" s="175" t="s">
        <v>414</v>
      </c>
      <c r="C32" s="219" t="s">
        <v>415</v>
      </c>
      <c r="D32" s="219" t="s">
        <v>416</v>
      </c>
      <c r="E32" s="219" t="s">
        <v>417</v>
      </c>
      <c r="F32" s="219" t="s">
        <v>418</v>
      </c>
      <c r="G32" s="219" t="s">
        <v>419</v>
      </c>
      <c r="H32" s="219" t="s">
        <v>420</v>
      </c>
      <c r="I32" s="219" t="s">
        <v>421</v>
      </c>
      <c r="J32" s="219" t="s">
        <v>422</v>
      </c>
      <c r="K32" s="220" t="s">
        <v>423</v>
      </c>
      <c r="L32" s="166"/>
      <c r="M32" s="167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 spans="1:26" ht="12.75" customHeight="1" x14ac:dyDescent="0.3">
      <c r="A33" s="167"/>
      <c r="B33" s="178" t="s">
        <v>280</v>
      </c>
      <c r="C33" s="262">
        <v>0.1</v>
      </c>
      <c r="D33" s="263">
        <f>IF(ISNA(VLOOKUP(B33,'Listado de Artículos'!$B$16:$F$1328,5,0)),0,(VLOOKUP(B33,'Listado de Artículos'!$B$16:$F$1328,5,0)))</f>
        <v>2</v>
      </c>
      <c r="E33" s="262">
        <v>1</v>
      </c>
      <c r="F33" s="262">
        <v>0.9</v>
      </c>
      <c r="G33" s="264">
        <f>IF(E33&gt;0,(F33/E33),"")</f>
        <v>0.9</v>
      </c>
      <c r="H33" s="264">
        <f>IF(E33&gt;0,(100%-G33),"")</f>
        <v>9.9999999999999978E-2</v>
      </c>
      <c r="I33" s="265">
        <f>IF(C33&gt;0,(H33*C33/G33),"")</f>
        <v>1.111111111111111E-2</v>
      </c>
      <c r="J33" s="265">
        <f>IF(C33&gt;0,(C33+I33),"")</f>
        <v>0.11111111111111112</v>
      </c>
      <c r="K33" s="211">
        <f>IF(D33&gt;0,(D33*J33),"")</f>
        <v>0.22222222222222224</v>
      </c>
      <c r="L33" s="166"/>
      <c r="M33" s="167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spans="1:26" ht="12.75" customHeight="1" x14ac:dyDescent="0.3">
      <c r="A34" s="167"/>
      <c r="B34" s="177" t="s">
        <v>321</v>
      </c>
      <c r="C34" s="262">
        <v>2.5000000000000001E-2</v>
      </c>
      <c r="D34" s="263">
        <f>IF(ISNA(VLOOKUP(B34,'Listado de Artículos'!$B$16:$F$1328,5,0)),0,(VLOOKUP(B34,'Listado de Artículos'!$B$16:$F$1328,5,0)))</f>
        <v>3.91</v>
      </c>
      <c r="E34" s="262">
        <v>1</v>
      </c>
      <c r="F34" s="262">
        <v>1</v>
      </c>
      <c r="G34" s="264">
        <f>IF(E34&gt;0,(F34/E34),"")</f>
        <v>1</v>
      </c>
      <c r="H34" s="264">
        <f>IF(E34&gt;0,(100%-G34),"")</f>
        <v>0</v>
      </c>
      <c r="I34" s="265">
        <f>IF(C34&gt;0,(H34*C34/G34),"")</f>
        <v>0</v>
      </c>
      <c r="J34" s="265">
        <f>IF(C34&gt;0,(C34+I34),"")</f>
        <v>2.5000000000000001E-2</v>
      </c>
      <c r="K34" s="211">
        <f>IF(D34&gt;0,(D34*J34),"")</f>
        <v>9.7750000000000004E-2</v>
      </c>
      <c r="L34" s="166"/>
      <c r="M34" s="167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 spans="1:26" ht="12.75" customHeight="1" x14ac:dyDescent="0.3">
      <c r="A35" s="167"/>
      <c r="B35" s="174"/>
      <c r="C35" s="306"/>
      <c r="D35" s="304"/>
      <c r="E35" s="304"/>
      <c r="F35" s="304"/>
      <c r="G35" s="304"/>
      <c r="H35" s="304"/>
      <c r="I35" s="304"/>
      <c r="J35" s="166"/>
      <c r="K35" s="166"/>
      <c r="L35" s="166"/>
      <c r="M35" s="167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 spans="1:26" ht="12.75" customHeight="1" x14ac:dyDescent="0.3">
      <c r="A36" s="164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4"/>
    </row>
    <row r="37" spans="1:26" ht="12.75" customHeight="1" x14ac:dyDescent="0.3">
      <c r="A37" s="167"/>
      <c r="B37" s="166"/>
      <c r="C37" s="303" t="s">
        <v>591</v>
      </c>
      <c r="D37" s="304"/>
      <c r="E37" s="304"/>
      <c r="F37" s="304"/>
      <c r="G37" s="304"/>
      <c r="H37" s="304"/>
      <c r="I37" s="304"/>
      <c r="J37" s="304"/>
      <c r="K37" s="305"/>
      <c r="L37" s="166"/>
      <c r="M37" s="167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spans="1:26" ht="12.75" customHeight="1" x14ac:dyDescent="0.3">
      <c r="A38" s="167"/>
      <c r="B38" s="166"/>
      <c r="C38" s="316" t="s">
        <v>406</v>
      </c>
      <c r="D38" s="304"/>
      <c r="E38" s="304"/>
      <c r="F38" s="304"/>
      <c r="G38" s="304"/>
      <c r="H38" s="304"/>
      <c r="I38" s="304"/>
      <c r="J38" s="304"/>
      <c r="K38" s="305"/>
      <c r="L38" s="166"/>
      <c r="M38" s="167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spans="1:26" ht="12.75" customHeight="1" x14ac:dyDescent="0.3">
      <c r="A39" s="167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7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spans="1:26" ht="12.75" customHeight="1" x14ac:dyDescent="0.3">
      <c r="A40" s="167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7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spans="1:26" ht="12.75" customHeight="1" x14ac:dyDescent="0.3">
      <c r="A41" s="167"/>
      <c r="B41" s="167"/>
      <c r="C41" s="168" t="s">
        <v>407</v>
      </c>
      <c r="D41" s="309" t="s">
        <v>594</v>
      </c>
      <c r="E41" s="310"/>
      <c r="F41" s="310"/>
      <c r="G41" s="310"/>
      <c r="H41" s="310"/>
      <c r="I41" s="310"/>
      <c r="J41" s="310"/>
      <c r="K41" s="310"/>
      <c r="L41" s="166"/>
      <c r="M41" s="167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spans="1:26" ht="12.75" customHeight="1" x14ac:dyDescent="0.3">
      <c r="A42" s="169"/>
      <c r="B42" s="169"/>
      <c r="C42" s="170" t="s">
        <v>409</v>
      </c>
      <c r="D42" s="311"/>
      <c r="E42" s="312"/>
      <c r="F42" s="312"/>
      <c r="G42" s="313"/>
      <c r="H42" s="319" t="s">
        <v>426</v>
      </c>
      <c r="I42" s="315"/>
      <c r="J42" s="307"/>
      <c r="K42" s="308"/>
      <c r="L42" s="167"/>
      <c r="M42" s="167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spans="1:26" ht="12.75" customHeight="1" x14ac:dyDescent="0.3">
      <c r="A43" s="167"/>
      <c r="B43" s="166"/>
      <c r="C43" s="171" t="s">
        <v>411</v>
      </c>
      <c r="D43" s="260">
        <v>0.42</v>
      </c>
      <c r="E43" s="317" t="s">
        <v>412</v>
      </c>
      <c r="F43" s="318"/>
      <c r="G43" s="172">
        <f>SUM(K46:K52)</f>
        <v>6.6793999999999993</v>
      </c>
      <c r="H43" s="314" t="s">
        <v>595</v>
      </c>
      <c r="I43" s="315"/>
      <c r="J43" s="261">
        <f>G43/D43</f>
        <v>15.903333333333332</v>
      </c>
      <c r="K43" s="270"/>
      <c r="L43" s="166"/>
      <c r="M43" s="167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spans="1:26" ht="12.75" customHeight="1" x14ac:dyDescent="0.3">
      <c r="A44" s="167"/>
      <c r="B44" s="174"/>
      <c r="C44" s="174"/>
      <c r="D44" s="174"/>
      <c r="E44" s="174"/>
      <c r="F44" s="174"/>
      <c r="G44" s="174"/>
      <c r="H44" s="174"/>
      <c r="I44" s="174"/>
      <c r="J44" s="166"/>
      <c r="K44" s="166"/>
      <c r="L44" s="166"/>
      <c r="M44" s="167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spans="1:26" ht="12.75" customHeight="1" x14ac:dyDescent="0.3">
      <c r="A45" s="167"/>
      <c r="B45" s="175" t="s">
        <v>414</v>
      </c>
      <c r="C45" s="219" t="s">
        <v>415</v>
      </c>
      <c r="D45" s="219" t="s">
        <v>416</v>
      </c>
      <c r="E45" s="219" t="s">
        <v>417</v>
      </c>
      <c r="F45" s="219" t="s">
        <v>418</v>
      </c>
      <c r="G45" s="219" t="s">
        <v>419</v>
      </c>
      <c r="H45" s="219" t="s">
        <v>420</v>
      </c>
      <c r="I45" s="219" t="s">
        <v>421</v>
      </c>
      <c r="J45" s="219" t="s">
        <v>422</v>
      </c>
      <c r="K45" s="220" t="s">
        <v>423</v>
      </c>
      <c r="L45" s="166"/>
      <c r="M45" s="167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spans="1:26" ht="12.75" customHeight="1" x14ac:dyDescent="0.3">
      <c r="A46" s="167"/>
      <c r="B46" s="177" t="s">
        <v>322</v>
      </c>
      <c r="C46" s="262">
        <v>1</v>
      </c>
      <c r="D46" s="263">
        <f>IF(ISNA(VLOOKUP(B46,'Listado de Artículos'!$B$16:$F$1328,5,0)),0,(VLOOKUP(B46,'Listado de Artículos'!$B$16:$F$1328,5,0)))</f>
        <v>1.55</v>
      </c>
      <c r="E46" s="262">
        <v>1</v>
      </c>
      <c r="F46" s="262">
        <v>1</v>
      </c>
      <c r="G46" s="264">
        <f t="shared" ref="G46:G52" si="5">IF(E46&gt;0,(F46/E46),"")</f>
        <v>1</v>
      </c>
      <c r="H46" s="264">
        <f t="shared" ref="H46:H52" si="6">IF(E46&gt;0,(100%-G46),"")</f>
        <v>0</v>
      </c>
      <c r="I46" s="265">
        <f t="shared" ref="I46:I52" si="7">IF(C46&gt;0,(H46*C46/G46),"")</f>
        <v>0</v>
      </c>
      <c r="J46" s="265">
        <f t="shared" ref="J46:J52" si="8">IF(C46&gt;0,(C46+I46),"")</f>
        <v>1</v>
      </c>
      <c r="K46" s="211">
        <f t="shared" ref="K46:K52" si="9">IF(D46&gt;0,(D46*J46),"")</f>
        <v>1.55</v>
      </c>
      <c r="L46" s="166"/>
      <c r="M46" s="167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spans="1:26" ht="12.75" customHeight="1" x14ac:dyDescent="0.3">
      <c r="A47" s="167"/>
      <c r="B47" s="177" t="s">
        <v>320</v>
      </c>
      <c r="C47" s="262">
        <v>1.6E-2</v>
      </c>
      <c r="D47" s="263">
        <f>IF(ISNA(VLOOKUP(B47,'Listado de Artículos'!$B$16:$F$1328,5,0)),0,(VLOOKUP(B47,'Listado de Artículos'!$B$16:$F$1328,5,0)))</f>
        <v>3.85</v>
      </c>
      <c r="E47" s="262">
        <v>1</v>
      </c>
      <c r="F47" s="262">
        <v>1</v>
      </c>
      <c r="G47" s="264">
        <f t="shared" si="5"/>
        <v>1</v>
      </c>
      <c r="H47" s="264">
        <f t="shared" si="6"/>
        <v>0</v>
      </c>
      <c r="I47" s="265">
        <f t="shared" si="7"/>
        <v>0</v>
      </c>
      <c r="J47" s="265">
        <f t="shared" si="8"/>
        <v>1.6E-2</v>
      </c>
      <c r="K47" s="211">
        <f t="shared" si="9"/>
        <v>6.1600000000000002E-2</v>
      </c>
      <c r="L47" s="166"/>
      <c r="M47" s="167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 spans="1:26" ht="12.75" customHeight="1" x14ac:dyDescent="0.3">
      <c r="A48" s="167"/>
      <c r="B48" s="177" t="s">
        <v>291</v>
      </c>
      <c r="C48" s="262">
        <v>0.04</v>
      </c>
      <c r="D48" s="263">
        <f>IF(ISNA(VLOOKUP(B48,'Listado de Artículos'!$B$16:$F$1328,5,0)),0,(VLOOKUP(B48,'Listado de Artículos'!$B$16:$F$1328,5,0)))</f>
        <v>23</v>
      </c>
      <c r="E48" s="262">
        <v>1</v>
      </c>
      <c r="F48" s="262">
        <v>1</v>
      </c>
      <c r="G48" s="264">
        <f t="shared" si="5"/>
        <v>1</v>
      </c>
      <c r="H48" s="264">
        <f t="shared" si="6"/>
        <v>0</v>
      </c>
      <c r="I48" s="265">
        <f t="shared" si="7"/>
        <v>0</v>
      </c>
      <c r="J48" s="265">
        <f t="shared" si="8"/>
        <v>0.04</v>
      </c>
      <c r="K48" s="211">
        <f t="shared" si="9"/>
        <v>0.92</v>
      </c>
      <c r="L48" s="166"/>
      <c r="M48" s="167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 spans="1:26" ht="12.75" customHeight="1" x14ac:dyDescent="0.3">
      <c r="A49" s="167"/>
      <c r="B49" s="177" t="s">
        <v>241</v>
      </c>
      <c r="C49" s="262">
        <v>0.04</v>
      </c>
      <c r="D49" s="263">
        <f>IF(ISNA(VLOOKUP(B49,'Listado de Artículos'!$B$16:$F$1328,5,0)),0,(VLOOKUP(B49,'Listado de Artículos'!$B$16:$F$1328,5,0)))</f>
        <v>1.05</v>
      </c>
      <c r="E49" s="262">
        <v>1</v>
      </c>
      <c r="F49" s="262">
        <v>1</v>
      </c>
      <c r="G49" s="264">
        <f t="shared" si="5"/>
        <v>1</v>
      </c>
      <c r="H49" s="264">
        <f t="shared" si="6"/>
        <v>0</v>
      </c>
      <c r="I49" s="265">
        <f t="shared" si="7"/>
        <v>0</v>
      </c>
      <c r="J49" s="265">
        <f t="shared" si="8"/>
        <v>0.04</v>
      </c>
      <c r="K49" s="211">
        <f t="shared" si="9"/>
        <v>4.2000000000000003E-2</v>
      </c>
      <c r="L49" s="166"/>
      <c r="M49" s="167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 spans="1:26" ht="12.75" customHeight="1" x14ac:dyDescent="0.3">
      <c r="A50" s="167"/>
      <c r="B50" s="177" t="s">
        <v>186</v>
      </c>
      <c r="C50" s="262">
        <v>0.14000000000000001</v>
      </c>
      <c r="D50" s="263">
        <f>IF(ISNA(VLOOKUP(B50,'Listado de Artículos'!$B$16:$F$1328,5,0)),0,(VLOOKUP(B50,'Listado de Artículos'!$B$16:$F$1328,5,0)))</f>
        <v>11.29</v>
      </c>
      <c r="E50" s="262">
        <v>1</v>
      </c>
      <c r="F50" s="262">
        <v>1</v>
      </c>
      <c r="G50" s="264">
        <f t="shared" si="5"/>
        <v>1</v>
      </c>
      <c r="H50" s="264">
        <f t="shared" si="6"/>
        <v>0</v>
      </c>
      <c r="I50" s="265">
        <f t="shared" si="7"/>
        <v>0</v>
      </c>
      <c r="J50" s="265">
        <f t="shared" si="8"/>
        <v>0.14000000000000001</v>
      </c>
      <c r="K50" s="211">
        <f t="shared" si="9"/>
        <v>1.5806</v>
      </c>
      <c r="L50" s="166"/>
      <c r="M50" s="167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 spans="1:26" ht="12.75" customHeight="1" x14ac:dyDescent="0.3">
      <c r="A51" s="167"/>
      <c r="B51" s="177" t="s">
        <v>188</v>
      </c>
      <c r="C51" s="262">
        <v>0.04</v>
      </c>
      <c r="D51" s="263">
        <f>IF(ISNA(VLOOKUP(B51,'Listado de Artículos'!$B$16:$F$1328,5,0)),0,(VLOOKUP(B51,'Listado de Artículos'!$B$16:$F$1328,5,0)))</f>
        <v>17.63</v>
      </c>
      <c r="E51" s="262">
        <v>1</v>
      </c>
      <c r="F51" s="262">
        <v>1</v>
      </c>
      <c r="G51" s="264">
        <f t="shared" si="5"/>
        <v>1</v>
      </c>
      <c r="H51" s="264">
        <f t="shared" si="6"/>
        <v>0</v>
      </c>
      <c r="I51" s="265">
        <f t="shared" si="7"/>
        <v>0</v>
      </c>
      <c r="J51" s="265">
        <f t="shared" si="8"/>
        <v>0.04</v>
      </c>
      <c r="K51" s="211">
        <f t="shared" si="9"/>
        <v>0.70519999999999994</v>
      </c>
      <c r="L51" s="166"/>
      <c r="M51" s="167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 spans="1:26" ht="12.75" customHeight="1" x14ac:dyDescent="0.3">
      <c r="A52" s="167"/>
      <c r="B52" s="177" t="s">
        <v>211</v>
      </c>
      <c r="C52" s="262">
        <v>7</v>
      </c>
      <c r="D52" s="263">
        <f>IF(ISNA(VLOOKUP(B52,'Listado de Artículos'!$B$16:$F$1328,5,0)),0,(VLOOKUP(B52,'Listado de Artículos'!$B$16:$F$1328,5,0)))</f>
        <v>0.26</v>
      </c>
      <c r="E52" s="262">
        <v>1</v>
      </c>
      <c r="F52" s="262">
        <v>1</v>
      </c>
      <c r="G52" s="264">
        <f t="shared" si="5"/>
        <v>1</v>
      </c>
      <c r="H52" s="264">
        <f t="shared" si="6"/>
        <v>0</v>
      </c>
      <c r="I52" s="265">
        <f t="shared" si="7"/>
        <v>0</v>
      </c>
      <c r="J52" s="265">
        <f t="shared" si="8"/>
        <v>7</v>
      </c>
      <c r="K52" s="211">
        <f t="shared" si="9"/>
        <v>1.82</v>
      </c>
      <c r="L52" s="166"/>
      <c r="M52" s="167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12.75" customHeight="1" x14ac:dyDescent="0.3">
      <c r="A53" s="167"/>
      <c r="B53" s="174"/>
      <c r="C53" s="306"/>
      <c r="D53" s="304"/>
      <c r="E53" s="304"/>
      <c r="F53" s="304"/>
      <c r="G53" s="304"/>
      <c r="H53" s="304"/>
      <c r="I53" s="304"/>
      <c r="J53" s="166"/>
      <c r="K53" s="166"/>
      <c r="L53" s="166"/>
      <c r="M53" s="167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 spans="1:26" ht="12.75" customHeight="1" x14ac:dyDescent="0.3">
      <c r="A54" s="164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4"/>
    </row>
    <row r="55" spans="1:26" ht="12.75" customHeight="1" x14ac:dyDescent="0.3">
      <c r="A55" s="167"/>
      <c r="B55" s="166"/>
      <c r="C55" s="303" t="s">
        <v>405</v>
      </c>
      <c r="D55" s="304"/>
      <c r="E55" s="304"/>
      <c r="F55" s="304"/>
      <c r="G55" s="304"/>
      <c r="H55" s="304"/>
      <c r="I55" s="304"/>
      <c r="J55" s="304"/>
      <c r="K55" s="305"/>
      <c r="L55" s="166"/>
      <c r="M55" s="167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 spans="1:26" ht="12.75" customHeight="1" x14ac:dyDescent="0.3">
      <c r="A56" s="167"/>
      <c r="B56" s="166"/>
      <c r="C56" s="316" t="s">
        <v>406</v>
      </c>
      <c r="D56" s="304"/>
      <c r="E56" s="304"/>
      <c r="F56" s="304"/>
      <c r="G56" s="304"/>
      <c r="H56" s="304"/>
      <c r="I56" s="304"/>
      <c r="J56" s="304"/>
      <c r="K56" s="305"/>
      <c r="L56" s="166"/>
      <c r="M56" s="167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 spans="1:26" ht="12.75" customHeight="1" x14ac:dyDescent="0.3">
      <c r="A57" s="167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 spans="1:26" ht="12.75" customHeight="1" x14ac:dyDescent="0.3">
      <c r="A58" s="167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7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 spans="1:26" ht="12.75" customHeight="1" x14ac:dyDescent="0.3">
      <c r="A59" s="167"/>
      <c r="B59" s="167"/>
      <c r="C59" s="168" t="s">
        <v>407</v>
      </c>
      <c r="D59" s="309" t="s">
        <v>470</v>
      </c>
      <c r="E59" s="310"/>
      <c r="F59" s="310"/>
      <c r="G59" s="310"/>
      <c r="H59" s="310"/>
      <c r="I59" s="310"/>
      <c r="J59" s="310"/>
      <c r="K59" s="310"/>
      <c r="L59" s="166"/>
      <c r="M59" s="167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 spans="1:26" ht="12.75" customHeight="1" x14ac:dyDescent="0.3">
      <c r="A60" s="169"/>
      <c r="B60" s="169"/>
      <c r="C60" s="170" t="s">
        <v>409</v>
      </c>
      <c r="D60" s="311" t="s">
        <v>410</v>
      </c>
      <c r="E60" s="312"/>
      <c r="F60" s="312"/>
      <c r="G60" s="313"/>
      <c r="H60" s="319"/>
      <c r="I60" s="315"/>
      <c r="J60" s="307"/>
      <c r="K60" s="308"/>
      <c r="L60" s="167"/>
      <c r="M60" s="167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 spans="1:26" ht="12.75" customHeight="1" x14ac:dyDescent="0.3">
      <c r="A61" s="167"/>
      <c r="B61" s="166"/>
      <c r="C61" s="171" t="s">
        <v>411</v>
      </c>
      <c r="D61" s="207">
        <v>1</v>
      </c>
      <c r="E61" s="317" t="s">
        <v>412</v>
      </c>
      <c r="F61" s="318"/>
      <c r="G61" s="172">
        <f>SUM(K64:K66)</f>
        <v>0.7621</v>
      </c>
      <c r="H61" s="314" t="s">
        <v>427</v>
      </c>
      <c r="I61" s="315"/>
      <c r="J61" s="261">
        <f>G61/D61</f>
        <v>0.7621</v>
      </c>
      <c r="K61" s="270"/>
      <c r="L61" s="166"/>
      <c r="M61" s="167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 spans="1:26" ht="12.75" customHeight="1" x14ac:dyDescent="0.3">
      <c r="A62" s="167"/>
      <c r="B62" s="174"/>
      <c r="C62" s="174"/>
      <c r="D62" s="174"/>
      <c r="E62" s="174"/>
      <c r="F62" s="174"/>
      <c r="G62" s="174"/>
      <c r="H62" s="174"/>
      <c r="I62" s="174"/>
      <c r="J62" s="166"/>
      <c r="K62" s="166"/>
      <c r="L62" s="166"/>
      <c r="M62" s="167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 spans="1:26" ht="12.75" customHeight="1" x14ac:dyDescent="0.3">
      <c r="A63" s="167"/>
      <c r="B63" s="175" t="s">
        <v>414</v>
      </c>
      <c r="C63" s="219" t="s">
        <v>415</v>
      </c>
      <c r="D63" s="219" t="s">
        <v>416</v>
      </c>
      <c r="E63" s="219" t="s">
        <v>417</v>
      </c>
      <c r="F63" s="219" t="s">
        <v>418</v>
      </c>
      <c r="G63" s="219" t="s">
        <v>419</v>
      </c>
      <c r="H63" s="219" t="s">
        <v>420</v>
      </c>
      <c r="I63" s="219" t="s">
        <v>421</v>
      </c>
      <c r="J63" s="219" t="s">
        <v>422</v>
      </c>
      <c r="K63" s="220" t="s">
        <v>423</v>
      </c>
      <c r="L63" s="166"/>
      <c r="M63" s="167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 spans="1:26" ht="12.75" customHeight="1" x14ac:dyDescent="0.3">
      <c r="A64" s="167"/>
      <c r="B64" s="178" t="s">
        <v>179</v>
      </c>
      <c r="C64" s="262">
        <v>1</v>
      </c>
      <c r="D64" s="263">
        <f>IF(ISNA(VLOOKUP(B64,'Listado de Artículos'!$B$16:$F$1328,5,0)),0,(VLOOKUP(B64,'Listado de Artículos'!$B$16:$F$1328,5,0)))</f>
        <v>0.5</v>
      </c>
      <c r="E64" s="262">
        <v>1</v>
      </c>
      <c r="F64" s="262">
        <v>1</v>
      </c>
      <c r="G64" s="264">
        <f>IF(E64&gt;0,(F64/E64),"")</f>
        <v>1</v>
      </c>
      <c r="H64" s="264">
        <f>IF(E64&gt;0,(100%-G64),"")</f>
        <v>0</v>
      </c>
      <c r="I64" s="265">
        <f>IF(C64&gt;0,(H64*C64/G64),"")</f>
        <v>0</v>
      </c>
      <c r="J64" s="265">
        <f>IF(C64&gt;0,(C64+I64),"")</f>
        <v>1</v>
      </c>
      <c r="K64" s="211">
        <f>IF(D64&gt;0,(D64*J64),"")</f>
        <v>0.5</v>
      </c>
      <c r="L64" s="166"/>
      <c r="M64" s="167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 spans="1:26" ht="12.75" customHeight="1" x14ac:dyDescent="0.3">
      <c r="A65" s="167"/>
      <c r="B65" s="177" t="s">
        <v>87</v>
      </c>
      <c r="C65" s="262">
        <v>2.5000000000000001E-2</v>
      </c>
      <c r="D65" s="263">
        <f>IF(ISNA(VLOOKUP(B65,'Listado de Artículos'!$B$16:$F$1328,5,0)),0,(VLOOKUP(B65,'Listado de Artículos'!$B$16:$F$1328,5,0)))</f>
        <v>0.82</v>
      </c>
      <c r="E65" s="262">
        <v>1</v>
      </c>
      <c r="F65" s="262">
        <v>1</v>
      </c>
      <c r="G65" s="264">
        <f>IF(E65&gt;0,(F65/E65),"")</f>
        <v>1</v>
      </c>
      <c r="H65" s="264">
        <f>IF(E65&gt;0,(100%-G65),"")</f>
        <v>0</v>
      </c>
      <c r="I65" s="265">
        <f>IF(C65&gt;0,(H65*C65/G65),"")</f>
        <v>0</v>
      </c>
      <c r="J65" s="265">
        <f>IF(C65&gt;0,(C65+I65),"")</f>
        <v>2.5000000000000001E-2</v>
      </c>
      <c r="K65" s="211">
        <f>IF(D65&gt;0,(D65*J65),"")</f>
        <v>2.0500000000000001E-2</v>
      </c>
      <c r="L65" s="166"/>
      <c r="M65" s="167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 spans="1:26" ht="12.75" customHeight="1" x14ac:dyDescent="0.3">
      <c r="A66" s="167"/>
      <c r="B66" s="177" t="s">
        <v>129</v>
      </c>
      <c r="C66" s="262">
        <v>0.01</v>
      </c>
      <c r="D66" s="263">
        <f>IF(ISNA(VLOOKUP(B66,'Listado de Artículos'!$B$16:$F$1328,5,0)),0,(VLOOKUP(B66,'Listado de Artículos'!$B$16:$F$1328,5,0)))</f>
        <v>24.16</v>
      </c>
      <c r="E66" s="262">
        <v>1</v>
      </c>
      <c r="F66" s="262">
        <v>1</v>
      </c>
      <c r="G66" s="264">
        <f>IF(E66&gt;0,(F66/E66),"")</f>
        <v>1</v>
      </c>
      <c r="H66" s="264">
        <f>IF(E66&gt;0,(100%-G66),"")</f>
        <v>0</v>
      </c>
      <c r="I66" s="265">
        <f>IF(C66&gt;0,(H66*C66/G66),"")</f>
        <v>0</v>
      </c>
      <c r="J66" s="265">
        <f>IF(C66&gt;0,(C66+I66),"")</f>
        <v>0.01</v>
      </c>
      <c r="K66" s="211">
        <f>IF(D66&gt;0,(D66*J66),"")</f>
        <v>0.24160000000000001</v>
      </c>
      <c r="L66" s="166"/>
      <c r="M66" s="167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 spans="1:26" ht="17.25" customHeight="1" x14ac:dyDescent="0.3">
      <c r="A67" s="167"/>
      <c r="B67" s="174"/>
      <c r="C67" s="306"/>
      <c r="D67" s="304"/>
      <c r="E67" s="304"/>
      <c r="F67" s="304"/>
      <c r="G67" s="304"/>
      <c r="H67" s="304"/>
      <c r="I67" s="304"/>
      <c r="J67" s="166"/>
      <c r="K67" s="166"/>
      <c r="L67" s="166"/>
      <c r="M67" s="167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 spans="1:26" ht="17.25" customHeight="1" x14ac:dyDescent="0.3">
      <c r="A68" s="167"/>
      <c r="B68" s="174"/>
      <c r="C68" s="258"/>
      <c r="D68" s="258"/>
      <c r="E68" s="258"/>
      <c r="F68" s="258"/>
      <c r="G68" s="258"/>
      <c r="H68" s="258"/>
      <c r="I68" s="258"/>
      <c r="J68" s="166"/>
      <c r="K68" s="166"/>
      <c r="L68" s="166"/>
      <c r="M68" s="167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</row>
    <row r="69" spans="1:26" ht="12.75" customHeight="1" x14ac:dyDescent="0.3">
      <c r="A69" s="164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4"/>
    </row>
    <row r="70" spans="1:26" ht="12.75" customHeight="1" x14ac:dyDescent="0.3">
      <c r="A70" s="167"/>
      <c r="B70" s="166"/>
      <c r="C70" s="303" t="s">
        <v>591</v>
      </c>
      <c r="D70" s="304"/>
      <c r="E70" s="304"/>
      <c r="F70" s="304"/>
      <c r="G70" s="304"/>
      <c r="H70" s="304"/>
      <c r="I70" s="304"/>
      <c r="J70" s="304"/>
      <c r="K70" s="305"/>
      <c r="L70" s="166"/>
      <c r="M70" s="167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 spans="1:26" ht="12.75" customHeight="1" x14ac:dyDescent="0.3">
      <c r="A71" s="167"/>
      <c r="B71" s="166"/>
      <c r="C71" s="316" t="s">
        <v>406</v>
      </c>
      <c r="D71" s="304"/>
      <c r="E71" s="304"/>
      <c r="F71" s="304"/>
      <c r="G71" s="304"/>
      <c r="H71" s="304"/>
      <c r="I71" s="304"/>
      <c r="J71" s="304"/>
      <c r="K71" s="305"/>
      <c r="L71" s="166"/>
      <c r="M71" s="167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 spans="1:26" ht="12.75" customHeight="1" x14ac:dyDescent="0.3">
      <c r="A72" s="167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7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spans="1:26" ht="12.75" customHeight="1" x14ac:dyDescent="0.3">
      <c r="A73" s="167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7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spans="1:26" ht="12.75" customHeight="1" x14ac:dyDescent="0.3">
      <c r="A74" s="167"/>
      <c r="B74" s="167"/>
      <c r="C74" s="168" t="s">
        <v>407</v>
      </c>
      <c r="D74" s="309" t="s">
        <v>596</v>
      </c>
      <c r="E74" s="310"/>
      <c r="F74" s="310"/>
      <c r="G74" s="310"/>
      <c r="H74" s="310"/>
      <c r="I74" s="310"/>
      <c r="J74" s="310"/>
      <c r="K74" s="310"/>
      <c r="L74" s="166"/>
      <c r="M74" s="167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spans="1:26" ht="12.75" customHeight="1" x14ac:dyDescent="0.3">
      <c r="A75" s="169"/>
      <c r="B75" s="169"/>
      <c r="C75" s="170" t="s">
        <v>409</v>
      </c>
      <c r="D75" s="311"/>
      <c r="E75" s="312"/>
      <c r="F75" s="312"/>
      <c r="G75" s="313"/>
      <c r="H75" s="319" t="s">
        <v>426</v>
      </c>
      <c r="I75" s="315"/>
      <c r="J75" s="307"/>
      <c r="K75" s="308"/>
      <c r="L75" s="167"/>
      <c r="M75" s="167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spans="1:26" ht="12.75" customHeight="1" x14ac:dyDescent="0.3">
      <c r="A76" s="167"/>
      <c r="B76" s="166"/>
      <c r="C76" s="171" t="s">
        <v>411</v>
      </c>
      <c r="D76" s="260">
        <v>1</v>
      </c>
      <c r="E76" s="317" t="s">
        <v>412</v>
      </c>
      <c r="F76" s="318"/>
      <c r="G76" s="172">
        <f>SUM(K79:K86)</f>
        <v>1.8449563492063492</v>
      </c>
      <c r="H76" s="314" t="s">
        <v>595</v>
      </c>
      <c r="I76" s="315"/>
      <c r="J76" s="261">
        <f>G76/D76</f>
        <v>1.8449563492063492</v>
      </c>
      <c r="K76" s="270"/>
      <c r="L76" s="166"/>
      <c r="M76" s="167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spans="1:26" ht="12.75" customHeight="1" x14ac:dyDescent="0.3">
      <c r="A77" s="167"/>
      <c r="B77" s="174"/>
      <c r="C77" s="174"/>
      <c r="D77" s="174"/>
      <c r="E77" s="174"/>
      <c r="F77" s="174"/>
      <c r="G77" s="174"/>
      <c r="H77" s="174"/>
      <c r="I77" s="174"/>
      <c r="J77" s="166"/>
      <c r="K77" s="166"/>
      <c r="L77" s="166"/>
      <c r="M77" s="167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 spans="1:26" ht="12.75" customHeight="1" x14ac:dyDescent="0.3">
      <c r="A78" s="167"/>
      <c r="B78" s="175" t="s">
        <v>414</v>
      </c>
      <c r="C78" s="219" t="s">
        <v>415</v>
      </c>
      <c r="D78" s="219" t="s">
        <v>416</v>
      </c>
      <c r="E78" s="219" t="s">
        <v>417</v>
      </c>
      <c r="F78" s="219" t="s">
        <v>418</v>
      </c>
      <c r="G78" s="219" t="s">
        <v>419</v>
      </c>
      <c r="H78" s="219" t="s">
        <v>420</v>
      </c>
      <c r="I78" s="219" t="s">
        <v>421</v>
      </c>
      <c r="J78" s="219" t="s">
        <v>422</v>
      </c>
      <c r="K78" s="220" t="s">
        <v>423</v>
      </c>
      <c r="L78" s="166"/>
      <c r="M78" s="167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 spans="1:26" ht="12.75" customHeight="1" x14ac:dyDescent="0.3">
      <c r="A79" s="167"/>
      <c r="B79" s="177" t="s">
        <v>293</v>
      </c>
      <c r="C79" s="262">
        <v>2.5000000000000001E-2</v>
      </c>
      <c r="D79" s="263">
        <f>IF(ISNA(VLOOKUP(B79,'Listado de Artículos'!$B$16:$F$1328,5,0)),0,(VLOOKUP(B79,'Listado de Artículos'!$B$16:$F$1328,5,0)))</f>
        <v>0.4</v>
      </c>
      <c r="E79" s="262">
        <v>1</v>
      </c>
      <c r="F79" s="262">
        <v>1</v>
      </c>
      <c r="G79" s="264">
        <f t="shared" ref="G79:G86" si="10">IF(E79&gt;0,(F79/E79),"")</f>
        <v>1</v>
      </c>
      <c r="H79" s="264">
        <f t="shared" ref="H79:H86" si="11">IF(E79&gt;0,(100%-G79),"")</f>
        <v>0</v>
      </c>
      <c r="I79" s="265">
        <f t="shared" ref="I79:I86" si="12">IF(C79&gt;0,(H79*C79/G79),"")</f>
        <v>0</v>
      </c>
      <c r="J79" s="265">
        <f t="shared" ref="J79:J86" si="13">IF(C79&gt;0,(C79+I79),"")</f>
        <v>2.5000000000000001E-2</v>
      </c>
      <c r="K79" s="211">
        <f t="shared" ref="K79:K86" si="14">IF(D79&gt;0,(D79*J79),"")</f>
        <v>1.0000000000000002E-2</v>
      </c>
      <c r="L79" s="166"/>
      <c r="M79" s="167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 spans="1:26" ht="12.75" customHeight="1" x14ac:dyDescent="0.3">
      <c r="A80" s="167"/>
      <c r="B80" s="177" t="s">
        <v>296</v>
      </c>
      <c r="C80" s="262">
        <v>2.5000000000000001E-2</v>
      </c>
      <c r="D80" s="263">
        <f>IF(ISNA(VLOOKUP(B80,'Listado de Artículos'!$B$16:$F$1328,5,0)),0,(VLOOKUP(B80,'Listado de Artículos'!$B$16:$F$1328,5,0)))</f>
        <v>15.25</v>
      </c>
      <c r="E80" s="262">
        <v>1</v>
      </c>
      <c r="F80" s="262">
        <v>1</v>
      </c>
      <c r="G80" s="264">
        <f t="shared" si="10"/>
        <v>1</v>
      </c>
      <c r="H80" s="264">
        <f t="shared" si="11"/>
        <v>0</v>
      </c>
      <c r="I80" s="265">
        <f t="shared" si="12"/>
        <v>0</v>
      </c>
      <c r="J80" s="265">
        <f t="shared" si="13"/>
        <v>2.5000000000000001E-2</v>
      </c>
      <c r="K80" s="211">
        <f t="shared" si="14"/>
        <v>0.38125000000000003</v>
      </c>
      <c r="L80" s="166"/>
      <c r="M80" s="167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 spans="1:26" ht="12.75" customHeight="1" x14ac:dyDescent="0.3">
      <c r="A81" s="167"/>
      <c r="B81" s="177" t="s">
        <v>297</v>
      </c>
      <c r="C81" s="262">
        <v>2.5000000000000001E-2</v>
      </c>
      <c r="D81" s="263">
        <f>IF(ISNA(VLOOKUP(B81,'Listado de Artículos'!$B$16:$F$1328,5,0)),0,(VLOOKUP(B81,'Listado de Artículos'!$B$16:$F$1328,5,0)))</f>
        <v>5.7</v>
      </c>
      <c r="E81" s="262">
        <v>1</v>
      </c>
      <c r="F81" s="262">
        <v>0.9</v>
      </c>
      <c r="G81" s="264">
        <f t="shared" si="10"/>
        <v>0.9</v>
      </c>
      <c r="H81" s="264">
        <f t="shared" si="11"/>
        <v>9.9999999999999978E-2</v>
      </c>
      <c r="I81" s="265">
        <f t="shared" si="12"/>
        <v>2.7777777777777775E-3</v>
      </c>
      <c r="J81" s="265">
        <f t="shared" si="13"/>
        <v>2.777777777777778E-2</v>
      </c>
      <c r="K81" s="211">
        <f t="shared" si="14"/>
        <v>0.15833333333333335</v>
      </c>
      <c r="L81" s="166"/>
      <c r="M81" s="167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 spans="1:26" ht="12.75" customHeight="1" x14ac:dyDescent="0.3">
      <c r="A82" s="167"/>
      <c r="B82" s="177" t="s">
        <v>94</v>
      </c>
      <c r="C82" s="262">
        <v>2.5000000000000001E-2</v>
      </c>
      <c r="D82" s="263">
        <f>IF(ISNA(VLOOKUP(B82,'Listado de Artículos'!$B$16:$F$1328,5,0)),0,(VLOOKUP(B82,'Listado de Artículos'!$B$16:$F$1328,5,0)))</f>
        <v>2.5</v>
      </c>
      <c r="E82" s="262">
        <v>1</v>
      </c>
      <c r="F82" s="262">
        <v>0.9</v>
      </c>
      <c r="G82" s="264">
        <f t="shared" si="10"/>
        <v>0.9</v>
      </c>
      <c r="H82" s="264">
        <f t="shared" si="11"/>
        <v>9.9999999999999978E-2</v>
      </c>
      <c r="I82" s="265">
        <f t="shared" si="12"/>
        <v>2.7777777777777775E-3</v>
      </c>
      <c r="J82" s="265">
        <f t="shared" si="13"/>
        <v>2.777777777777778E-2</v>
      </c>
      <c r="K82" s="211">
        <f t="shared" si="14"/>
        <v>6.9444444444444448E-2</v>
      </c>
      <c r="L82" s="166"/>
      <c r="M82" s="167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 spans="1:26" ht="12.75" customHeight="1" x14ac:dyDescent="0.3">
      <c r="A83" s="167"/>
      <c r="B83" s="177" t="s">
        <v>113</v>
      </c>
      <c r="C83" s="262">
        <v>0.3</v>
      </c>
      <c r="D83" s="263">
        <f>IF(ISNA(VLOOKUP(B83,'Listado de Artículos'!$B$16:$F$1328,5,0)),0,(VLOOKUP(B83,'Listado de Artículos'!$B$16:$F$1328,5,0)))</f>
        <v>1.79</v>
      </c>
      <c r="E83" s="262">
        <v>1</v>
      </c>
      <c r="F83" s="262">
        <v>1</v>
      </c>
      <c r="G83" s="264">
        <f t="shared" si="10"/>
        <v>1</v>
      </c>
      <c r="H83" s="264">
        <f t="shared" si="11"/>
        <v>0</v>
      </c>
      <c r="I83" s="265">
        <f t="shared" si="12"/>
        <v>0</v>
      </c>
      <c r="J83" s="265">
        <f t="shared" si="13"/>
        <v>0.3</v>
      </c>
      <c r="K83" s="211">
        <f t="shared" si="14"/>
        <v>0.53700000000000003</v>
      </c>
      <c r="L83" s="166"/>
      <c r="M83" s="167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 spans="1:26" ht="12.75" customHeight="1" x14ac:dyDescent="0.3">
      <c r="A84" s="167"/>
      <c r="B84" s="177" t="s">
        <v>195</v>
      </c>
      <c r="C84" s="262">
        <v>1.4999999999999999E-2</v>
      </c>
      <c r="D84" s="263">
        <f>IF(ISNA(VLOOKUP(B84,'Listado de Artículos'!$B$16:$F$1328,5,0)),0,(VLOOKUP(B84,'Listado de Artículos'!$B$16:$F$1328,5,0)))</f>
        <v>4.8499999999999996</v>
      </c>
      <c r="E84" s="262">
        <v>1</v>
      </c>
      <c r="F84" s="262">
        <v>0.7</v>
      </c>
      <c r="G84" s="264">
        <f t="shared" si="10"/>
        <v>0.7</v>
      </c>
      <c r="H84" s="264">
        <f t="shared" si="11"/>
        <v>0.30000000000000004</v>
      </c>
      <c r="I84" s="265">
        <f t="shared" si="12"/>
        <v>6.4285714285714293E-3</v>
      </c>
      <c r="J84" s="265">
        <f t="shared" si="13"/>
        <v>2.1428571428571429E-2</v>
      </c>
      <c r="K84" s="211">
        <f t="shared" si="14"/>
        <v>0.10392857142857143</v>
      </c>
      <c r="L84" s="166"/>
      <c r="M84" s="167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</row>
    <row r="85" spans="1:26" ht="12.75" customHeight="1" x14ac:dyDescent="0.3">
      <c r="A85" s="167"/>
      <c r="B85" s="177" t="s">
        <v>360</v>
      </c>
      <c r="C85" s="262">
        <v>0.02</v>
      </c>
      <c r="D85" s="263">
        <f>IF(ISNA(VLOOKUP(B85,'Listado de Artículos'!$B$16:$F$1328,5,0)),0,(VLOOKUP(B85,'Listado de Artículos'!$B$16:$F$1328,5,0)))</f>
        <v>4.25</v>
      </c>
      <c r="E85" s="262">
        <v>1</v>
      </c>
      <c r="F85" s="262">
        <v>1</v>
      </c>
      <c r="G85" s="264">
        <f t="shared" si="10"/>
        <v>1</v>
      </c>
      <c r="H85" s="264">
        <f t="shared" si="11"/>
        <v>0</v>
      </c>
      <c r="I85" s="265">
        <f t="shared" si="12"/>
        <v>0</v>
      </c>
      <c r="J85" s="265">
        <f t="shared" si="13"/>
        <v>0.02</v>
      </c>
      <c r="K85" s="211">
        <f t="shared" si="14"/>
        <v>8.5000000000000006E-2</v>
      </c>
      <c r="L85" s="166"/>
      <c r="M85" s="167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 spans="1:26" ht="12.75" customHeight="1" x14ac:dyDescent="0.3">
      <c r="A86" s="167"/>
      <c r="B86" s="177" t="s">
        <v>63</v>
      </c>
      <c r="C86" s="262">
        <v>0.04</v>
      </c>
      <c r="D86" s="263">
        <f>IF(ISNA(VLOOKUP(B86,'Listado de Artículos'!$B$16:$F$1328,5,0)),0,(VLOOKUP(B86,'Listado de Artículos'!$B$16:$F$1328,5,0)))</f>
        <v>12.5</v>
      </c>
      <c r="E86" s="262">
        <v>1</v>
      </c>
      <c r="F86" s="262">
        <v>1</v>
      </c>
      <c r="G86" s="264">
        <f t="shared" si="10"/>
        <v>1</v>
      </c>
      <c r="H86" s="264">
        <f t="shared" si="11"/>
        <v>0</v>
      </c>
      <c r="I86" s="265">
        <f t="shared" si="12"/>
        <v>0</v>
      </c>
      <c r="J86" s="265">
        <f t="shared" si="13"/>
        <v>0.04</v>
      </c>
      <c r="K86" s="211">
        <f t="shared" si="14"/>
        <v>0.5</v>
      </c>
      <c r="L86" s="166"/>
      <c r="M86" s="167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 spans="1:26" ht="12.75" customHeight="1" x14ac:dyDescent="0.3">
      <c r="A87" s="167"/>
      <c r="B87" s="174"/>
      <c r="C87" s="306"/>
      <c r="D87" s="304"/>
      <c r="E87" s="304"/>
      <c r="F87" s="304"/>
      <c r="G87" s="304"/>
      <c r="H87" s="304"/>
      <c r="I87" s="304"/>
      <c r="J87" s="166"/>
      <c r="K87" s="166"/>
      <c r="L87" s="166"/>
      <c r="M87" s="167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 spans="1:26" ht="12.75" customHeight="1" x14ac:dyDescent="0.3">
      <c r="A88" s="164"/>
      <c r="B88" s="165"/>
      <c r="C88" s="165"/>
      <c r="D88" s="165"/>
      <c r="E88" s="165"/>
      <c r="F88" s="165"/>
      <c r="G88" s="165"/>
      <c r="H88" s="165"/>
      <c r="I88" s="165"/>
      <c r="J88" s="165"/>
      <c r="K88" s="165"/>
      <c r="L88" s="164"/>
    </row>
    <row r="89" spans="1:26" ht="12.75" customHeight="1" x14ac:dyDescent="0.25"/>
    <row r="90" spans="1:26" ht="12.75" customHeight="1" x14ac:dyDescent="0.25"/>
    <row r="91" spans="1:26" ht="12.75" customHeight="1" x14ac:dyDescent="0.25"/>
    <row r="92" spans="1:26" ht="12.75" customHeight="1" x14ac:dyDescent="0.25"/>
    <row r="93" spans="1:26" ht="12.75" customHeight="1" x14ac:dyDescent="0.25"/>
    <row r="94" spans="1:26" ht="12.75" customHeight="1" x14ac:dyDescent="0.25"/>
    <row r="95" spans="1:26" ht="12.75" customHeight="1" x14ac:dyDescent="0.25"/>
    <row r="96" spans="1:2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45">
    <mergeCell ref="C3:K3"/>
    <mergeCell ref="H8:I8"/>
    <mergeCell ref="E9:F9"/>
    <mergeCell ref="H75:I75"/>
    <mergeCell ref="C25:K25"/>
    <mergeCell ref="D74:K74"/>
    <mergeCell ref="C20:I20"/>
    <mergeCell ref="H43:I43"/>
    <mergeCell ref="C53:I53"/>
    <mergeCell ref="H76:I76"/>
    <mergeCell ref="H61:I61"/>
    <mergeCell ref="D28:K28"/>
    <mergeCell ref="C67:I67"/>
    <mergeCell ref="C4:K4"/>
    <mergeCell ref="J42:K42"/>
    <mergeCell ref="E76:F76"/>
    <mergeCell ref="C71:K71"/>
    <mergeCell ref="J75:K75"/>
    <mergeCell ref="C70:K70"/>
    <mergeCell ref="E61:F61"/>
    <mergeCell ref="H30:I30"/>
    <mergeCell ref="J29:K29"/>
    <mergeCell ref="J60:K60"/>
    <mergeCell ref="C55:K55"/>
    <mergeCell ref="D29:G29"/>
    <mergeCell ref="D75:G75"/>
    <mergeCell ref="J8:K8"/>
    <mergeCell ref="D60:G60"/>
    <mergeCell ref="C56:K56"/>
    <mergeCell ref="D7:K7"/>
    <mergeCell ref="C87:I87"/>
    <mergeCell ref="H9:I9"/>
    <mergeCell ref="H42:I42"/>
    <mergeCell ref="E30:F30"/>
    <mergeCell ref="D42:G42"/>
    <mergeCell ref="C24:K24"/>
    <mergeCell ref="H29:I29"/>
    <mergeCell ref="H60:I60"/>
    <mergeCell ref="D41:K41"/>
    <mergeCell ref="D59:K59"/>
    <mergeCell ref="C37:K37"/>
    <mergeCell ref="E43:F43"/>
    <mergeCell ref="C38:K38"/>
    <mergeCell ref="D8:G8"/>
    <mergeCell ref="C35:I35"/>
  </mergeCells>
  <dataValidations count="1">
    <dataValidation type="list" allowBlank="1" showErrorMessage="1" sqref="B12:B19 B33:B34 B46:B52 B64:B66 B79:B86">
      <formula1>Articulo</formula1>
    </dataValidation>
  </dataValidation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00"/>
  <sheetViews>
    <sheetView workbookViewId="0"/>
  </sheetViews>
  <sheetFormatPr baseColWidth="10" defaultColWidth="12.6640625" defaultRowHeight="15" customHeight="1" x14ac:dyDescent="0.25"/>
  <cols>
    <col min="1" max="1" width="60.109375" style="302" customWidth="1"/>
    <col min="2" max="3" width="8.6640625" style="302" customWidth="1"/>
    <col min="4" max="4" width="11.6640625" style="302" customWidth="1"/>
    <col min="5" max="5" width="11.21875" style="302" customWidth="1"/>
    <col min="6" max="26" width="8.6640625" style="302" customWidth="1"/>
  </cols>
  <sheetData>
    <row r="1" spans="1:12" ht="12.75" customHeight="1" x14ac:dyDescent="0.3">
      <c r="A1" s="164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4"/>
    </row>
    <row r="2" spans="1:12" ht="12.75" customHeight="1" x14ac:dyDescent="0.25">
      <c r="A2" s="322" t="s">
        <v>471</v>
      </c>
      <c r="B2" s="323"/>
      <c r="C2" s="323"/>
      <c r="D2" s="323"/>
      <c r="E2" s="323"/>
      <c r="F2" s="324"/>
    </row>
    <row r="3" spans="1:12" ht="12.75" customHeight="1" x14ac:dyDescent="0.25">
      <c r="A3" s="325"/>
      <c r="B3" s="326"/>
      <c r="C3" s="326"/>
      <c r="D3" s="326"/>
      <c r="E3" s="326"/>
      <c r="F3" s="327"/>
    </row>
    <row r="4" spans="1:12" ht="12.75" customHeight="1" x14ac:dyDescent="0.3">
      <c r="A4" s="196" t="s">
        <v>515</v>
      </c>
      <c r="B4" s="197" t="s">
        <v>445</v>
      </c>
      <c r="C4" s="197" t="s">
        <v>446</v>
      </c>
      <c r="D4" s="197" t="s">
        <v>447</v>
      </c>
      <c r="E4" s="197" t="s">
        <v>448</v>
      </c>
    </row>
    <row r="5" spans="1:12" ht="12.75" customHeight="1" x14ac:dyDescent="0.3">
      <c r="A5" s="198" t="s">
        <v>597</v>
      </c>
      <c r="B5" s="279" t="s">
        <v>450</v>
      </c>
      <c r="C5" s="280" t="s">
        <v>451</v>
      </c>
      <c r="D5" s="199" t="s">
        <v>452</v>
      </c>
      <c r="E5" s="281"/>
    </row>
    <row r="6" spans="1:12" ht="12.75" customHeight="1" x14ac:dyDescent="0.3">
      <c r="A6" s="204" t="s">
        <v>339</v>
      </c>
      <c r="B6" s="262">
        <v>1</v>
      </c>
      <c r="C6" s="263">
        <f>IF(ISNA(VLOOKUP(A6,'Listado de Artículos'!$B$16:$F$1328,5,0)),0,(VLOOKUP(A6,'Listado de Artículos'!$B$16:$F$1328,5,0)))</f>
        <v>6.65</v>
      </c>
      <c r="D6" s="211">
        <f t="shared" ref="D6:D16" si="0">B6*C6</f>
        <v>6.65</v>
      </c>
      <c r="E6" s="281"/>
    </row>
    <row r="7" spans="1:12" ht="12.75" customHeight="1" x14ac:dyDescent="0.3">
      <c r="A7" s="204" t="s">
        <v>281</v>
      </c>
      <c r="B7" s="262">
        <v>1</v>
      </c>
      <c r="C7" s="263">
        <f>IF(ISNA(VLOOKUP(A7,'Listado de Artículos'!$B$16:$F$1328,5,0)),0,(VLOOKUP(A7,'Listado de Artículos'!$B$16:$F$1328,5,0)))</f>
        <v>5.27</v>
      </c>
      <c r="D7" s="211">
        <f t="shared" si="0"/>
        <v>5.27</v>
      </c>
      <c r="E7" s="281"/>
    </row>
    <row r="8" spans="1:12" ht="12.75" customHeight="1" x14ac:dyDescent="0.3">
      <c r="A8" s="204" t="s">
        <v>175</v>
      </c>
      <c r="B8" s="290">
        <v>1</v>
      </c>
      <c r="C8" s="291">
        <f>IF(ISNA(VLOOKUP(A8,'Listado de Artículos'!$B$16:$F$1328,5,0)),0,(VLOOKUP(A8,'Listado de Artículos'!$B$16:$F$1328,5,0)))</f>
        <v>0.7</v>
      </c>
      <c r="D8" s="210">
        <f t="shared" si="0"/>
        <v>0.7</v>
      </c>
      <c r="E8" s="292"/>
    </row>
    <row r="9" spans="1:12" ht="12.75" customHeight="1" x14ac:dyDescent="0.3">
      <c r="A9" s="204" t="s">
        <v>295</v>
      </c>
      <c r="B9" s="262">
        <v>7.4999999999999997E-2</v>
      </c>
      <c r="C9" s="263">
        <f>IF(ISNA(VLOOKUP(A9,'Listado de Artículos'!$B$16:$F$1328,5,0)),0,(VLOOKUP(A9,'Listado de Artículos'!$B$16:$F$1328,5,0)))</f>
        <v>6.9</v>
      </c>
      <c r="D9" s="211">
        <f t="shared" si="0"/>
        <v>0.51749999999999996</v>
      </c>
      <c r="E9" s="281"/>
    </row>
    <row r="10" spans="1:12" ht="12.75" customHeight="1" x14ac:dyDescent="0.3">
      <c r="A10" s="204" t="s">
        <v>223</v>
      </c>
      <c r="B10" s="262">
        <v>1</v>
      </c>
      <c r="C10" s="263">
        <f>IF(ISNA(VLOOKUP(A10,'Listado de Artículos'!$B$16:$F$1328,5,0)),0,(VLOOKUP(A10,'Listado de Artículos'!$B$16:$F$1328,5,0)))</f>
        <v>0.84</v>
      </c>
      <c r="D10" s="211">
        <f t="shared" si="0"/>
        <v>0.84</v>
      </c>
      <c r="E10" s="281"/>
    </row>
    <row r="11" spans="1:12" ht="12.75" customHeight="1" x14ac:dyDescent="0.3">
      <c r="A11" s="204" t="s">
        <v>299</v>
      </c>
      <c r="B11" s="262">
        <v>0.15</v>
      </c>
      <c r="C11" s="263">
        <f>IF(ISNA(VLOOKUP(A11,'Listado de Artículos'!$B$16:$F$1328,5,0)),0,(VLOOKUP(A11,'Listado de Artículos'!$B$16:$F$1328,5,0)))</f>
        <v>2.88</v>
      </c>
      <c r="D11" s="211">
        <f t="shared" si="0"/>
        <v>0.432</v>
      </c>
      <c r="E11" s="281"/>
    </row>
    <row r="12" spans="1:12" ht="12.75" customHeight="1" x14ac:dyDescent="0.3">
      <c r="A12" s="204" t="s">
        <v>106</v>
      </c>
      <c r="B12" s="262">
        <v>7.0000000000000007E-2</v>
      </c>
      <c r="C12" s="263">
        <f>IF(ISNA(VLOOKUP(A12,'Listado de Artículos'!$B$16:$F$1328,5,0)),0,(VLOOKUP(A12,'Listado de Artículos'!$B$16:$F$1328,5,0)))</f>
        <v>7.6</v>
      </c>
      <c r="D12" s="211">
        <f t="shared" si="0"/>
        <v>0.53200000000000003</v>
      </c>
      <c r="E12" s="281"/>
    </row>
    <row r="13" spans="1:12" ht="12.75" customHeight="1" x14ac:dyDescent="0.3">
      <c r="A13" s="204"/>
      <c r="B13" s="262">
        <v>0.09</v>
      </c>
      <c r="C13" s="263">
        <f>IF(ISNA(VLOOKUP(A13,'Listado de Artículos'!$B$16:$F$1328,5,0)),0,(VLOOKUP(A13,'Listado de Artículos'!$B$16:$F$1328,5,0)))</f>
        <v>0</v>
      </c>
      <c r="D13" s="211">
        <f t="shared" si="0"/>
        <v>0</v>
      </c>
      <c r="E13" s="203"/>
    </row>
    <row r="14" spans="1:12" ht="12.75" customHeight="1" x14ac:dyDescent="0.3">
      <c r="A14" s="204" t="s">
        <v>320</v>
      </c>
      <c r="B14" s="262">
        <v>0.03</v>
      </c>
      <c r="C14" s="263">
        <f>IF(ISNA(VLOOKUP(A14,'Listado de Artículos'!$B$16:$F$1328,5,0)),0,(VLOOKUP(A14,'Listado de Artículos'!$B$16:$F$1328,5,0)))</f>
        <v>3.85</v>
      </c>
      <c r="D14" s="211">
        <f t="shared" si="0"/>
        <v>0.11549999999999999</v>
      </c>
      <c r="E14" s="281"/>
    </row>
    <row r="15" spans="1:12" ht="12.75" customHeight="1" x14ac:dyDescent="0.3">
      <c r="A15" s="204" t="s">
        <v>230</v>
      </c>
      <c r="B15" s="262">
        <v>1</v>
      </c>
      <c r="C15" s="263">
        <f>IF(ISNA(VLOOKUP(A15,'Listado de Artículos'!$B$16:$F$1328,5,0)),0,(VLOOKUP(A15,'Listado de Artículos'!$B$16:$F$1328,5,0)))</f>
        <v>0.54</v>
      </c>
      <c r="D15" s="211">
        <f t="shared" si="0"/>
        <v>0.54</v>
      </c>
      <c r="E15" s="281"/>
    </row>
    <row r="16" spans="1:12" ht="12.75" customHeight="1" x14ac:dyDescent="0.3">
      <c r="A16" s="204" t="s">
        <v>226</v>
      </c>
      <c r="B16" s="262">
        <v>1</v>
      </c>
      <c r="C16" s="263">
        <f>IF(ISNA(VLOOKUP(A16,'Listado de Artículos'!$B$16:$F$1328,5,0)),0,(VLOOKUP(A16,'Listado de Artículos'!$B$16:$F$1328,5,0)))</f>
        <v>0.96</v>
      </c>
      <c r="D16" s="211">
        <f t="shared" si="0"/>
        <v>0.96</v>
      </c>
      <c r="E16" s="281"/>
    </row>
    <row r="17" spans="1:8" ht="12.75" customHeight="1" x14ac:dyDescent="0.3">
      <c r="A17" s="200" t="s">
        <v>454</v>
      </c>
      <c r="B17" s="201"/>
      <c r="C17" s="202"/>
      <c r="D17" s="202"/>
      <c r="E17" s="203"/>
    </row>
    <row r="18" spans="1:8" ht="12.75" customHeight="1" x14ac:dyDescent="0.3">
      <c r="A18" s="204" t="s">
        <v>179</v>
      </c>
      <c r="B18" s="262">
        <v>0.5</v>
      </c>
      <c r="C18" s="263">
        <f>IF(ISNA(VLOOKUP(A18,'Listado de Artículos'!$B$16:$F$1328,5,0)),0,(VLOOKUP(A18,'Listado de Artículos'!$B$16:$F$1328,5,0)))</f>
        <v>0.5</v>
      </c>
      <c r="D18" s="211">
        <f>B18*C18</f>
        <v>0.25</v>
      </c>
      <c r="E18" s="281"/>
    </row>
    <row r="19" spans="1:8" ht="12.75" customHeight="1" x14ac:dyDescent="0.3">
      <c r="A19" s="204" t="s">
        <v>173</v>
      </c>
      <c r="B19" s="262">
        <v>0.5</v>
      </c>
      <c r="C19" s="263">
        <f>IF(ISNA(VLOOKUP(A19,'Listado de Artículos'!$B$16:$F$1328,5,0)),0,(VLOOKUP(A19,'Listado de Artículos'!$B$16:$F$1328,5,0)))</f>
        <v>7.43</v>
      </c>
      <c r="D19" s="211">
        <f>B19*C19</f>
        <v>3.7149999999999999</v>
      </c>
      <c r="E19" s="281"/>
    </row>
    <row r="20" spans="1:8" ht="12.75" customHeight="1" x14ac:dyDescent="0.3">
      <c r="A20" s="200" t="s">
        <v>517</v>
      </c>
      <c r="B20" s="201"/>
      <c r="C20" s="202"/>
      <c r="D20" s="202"/>
      <c r="E20" s="203"/>
    </row>
    <row r="21" spans="1:8" ht="12.75" customHeight="1" x14ac:dyDescent="0.3">
      <c r="A21" s="204" t="s">
        <v>156</v>
      </c>
      <c r="B21" s="262">
        <v>0.25</v>
      </c>
      <c r="C21" s="263">
        <f>IF(ISNA(VLOOKUP(A21,'Listado de Artículos'!$B$16:$F$1328,5,0)),0,(VLOOKUP(A21,'Listado de Artículos'!$B$16:$F$1328,5,0)))</f>
        <v>0.9</v>
      </c>
      <c r="D21" s="211">
        <f>B21*C21</f>
        <v>0.22500000000000001</v>
      </c>
      <c r="E21" s="281"/>
    </row>
    <row r="22" spans="1:8" ht="12.75" customHeight="1" x14ac:dyDescent="0.3">
      <c r="A22" s="204" t="s">
        <v>48</v>
      </c>
      <c r="B22" s="262">
        <v>0.3</v>
      </c>
      <c r="C22" s="263">
        <f>IF(ISNA(VLOOKUP(A22,'Listado de Artículos'!$B$16:$F$1328,5,0)),0,(VLOOKUP(A22,'Listado de Artículos'!$B$16:$F$1328,5,0)))</f>
        <v>0.8</v>
      </c>
      <c r="D22" s="211">
        <f>B22*C22</f>
        <v>0.24</v>
      </c>
      <c r="E22" s="281"/>
    </row>
    <row r="23" spans="1:8" ht="12.75" customHeight="1" x14ac:dyDescent="0.3">
      <c r="A23" s="204" t="s">
        <v>123</v>
      </c>
      <c r="B23" s="283"/>
      <c r="C23" s="284"/>
      <c r="D23" s="285">
        <v>0.22</v>
      </c>
      <c r="E23" s="281"/>
    </row>
    <row r="24" spans="1:8" ht="12.75" customHeight="1" x14ac:dyDescent="0.3">
      <c r="A24" s="205" t="s">
        <v>455</v>
      </c>
      <c r="B24" s="286">
        <v>35</v>
      </c>
      <c r="C24" s="287">
        <f>+B24-(B24*0.1)</f>
        <v>31.5</v>
      </c>
      <c r="D24" s="288">
        <f>SUM(D6:D23)</f>
        <v>21.207000000000001</v>
      </c>
      <c r="E24" s="289">
        <f>(D24*100/C24)/100</f>
        <v>0.6732380952380953</v>
      </c>
      <c r="F24" s="206"/>
      <c r="G24" s="206"/>
      <c r="H24" s="206"/>
    </row>
    <row r="25" spans="1:8" ht="12.75" customHeight="1" x14ac:dyDescent="0.25"/>
    <row r="26" spans="1:8" ht="12.75" customHeight="1" x14ac:dyDescent="0.25"/>
    <row r="27" spans="1:8" ht="12.75" customHeight="1" x14ac:dyDescent="0.25"/>
    <row r="28" spans="1:8" ht="12.75" customHeight="1" x14ac:dyDescent="0.25"/>
    <row r="29" spans="1:8" ht="12.75" customHeight="1" x14ac:dyDescent="0.25"/>
    <row r="30" spans="1:8" ht="12.75" customHeight="1" x14ac:dyDescent="0.25"/>
    <row r="31" spans="1:8" ht="12.75" customHeight="1" x14ac:dyDescent="0.25"/>
    <row r="32" spans="1:8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2:F3"/>
  </mergeCells>
  <conditionalFormatting sqref="C23">
    <cfRule type="cellIs" dxfId="3" priority="1" stopIfTrue="1" operator="lessThan">
      <formula>0</formula>
    </cfRule>
    <cfRule type="cellIs" dxfId="2" priority="2" stopIfTrue="1" operator="lessThan">
      <formula>0</formula>
    </cfRule>
    <cfRule type="cellIs" dxfId="1" priority="3" stopIfTrue="1" operator="lessThan">
      <formula>0</formula>
    </cfRule>
  </conditionalFormatting>
  <conditionalFormatting sqref="C24">
    <cfRule type="cellIs" dxfId="0" priority="4" stopIfTrue="1" operator="lessThan">
      <formula>0</formula>
    </cfRule>
  </conditionalFormatting>
  <dataValidations count="1">
    <dataValidation type="list" allowBlank="1" showErrorMessage="1" sqref="A5:A16 A18:A19 A21:A23">
      <formula1>Articulo</formula1>
    </dataValidation>
  </dataValidation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H2" sqref="H2"/>
    </sheetView>
  </sheetViews>
  <sheetFormatPr baseColWidth="10" defaultRowHeight="13.2" x14ac:dyDescent="0.25"/>
  <cols>
    <col min="1" max="1" width="15" style="302" customWidth="1"/>
    <col min="2" max="2" width="16.33203125" style="302" customWidth="1"/>
    <col min="3" max="3" width="13.44140625" style="302" customWidth="1"/>
    <col min="4" max="4" width="13.109375" style="302" customWidth="1"/>
    <col min="6" max="7" width="12.77734375" style="302" customWidth="1"/>
    <col min="8" max="8" width="16.5546875" style="302" customWidth="1"/>
  </cols>
  <sheetData>
    <row r="1" spans="1:8" x14ac:dyDescent="0.25">
      <c r="A1" t="s">
        <v>598</v>
      </c>
      <c r="B1" t="s">
        <v>599</v>
      </c>
      <c r="C1" t="s">
        <v>600</v>
      </c>
      <c r="D1" t="s">
        <v>601</v>
      </c>
      <c r="E1" t="s">
        <v>602</v>
      </c>
      <c r="F1" t="s">
        <v>603</v>
      </c>
      <c r="G1" t="s">
        <v>604</v>
      </c>
      <c r="H1" t="s">
        <v>605</v>
      </c>
    </row>
    <row r="2" spans="1:8" x14ac:dyDescent="0.25">
      <c r="A2" t="s">
        <v>606</v>
      </c>
      <c r="B2" t="s">
        <v>384</v>
      </c>
      <c r="C2" t="s">
        <v>176</v>
      </c>
      <c r="D2">
        <v>0.12559999999999999</v>
      </c>
      <c r="H2" t="s">
        <v>607</v>
      </c>
    </row>
    <row r="3" spans="1:8" x14ac:dyDescent="0.25">
      <c r="A3" t="s">
        <v>608</v>
      </c>
      <c r="B3" t="s">
        <v>609</v>
      </c>
      <c r="C3" t="s">
        <v>610</v>
      </c>
      <c r="D3">
        <v>0.33300000000000002</v>
      </c>
      <c r="H3" t="s">
        <v>611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</vt:i4>
      </vt:variant>
    </vt:vector>
  </HeadingPairs>
  <TitlesOfParts>
    <vt:vector size="24" baseType="lpstr">
      <vt:lpstr>Listado de Artículos</vt:lpstr>
      <vt:lpstr>M.P Menú finde 45€</vt:lpstr>
      <vt:lpstr>Menú bbq finde 45€</vt:lpstr>
      <vt:lpstr>Menú paella finde 45€</vt:lpstr>
      <vt:lpstr>M.P menú bbq 95€</vt:lpstr>
      <vt:lpstr>Menú bbq 95€</vt:lpstr>
      <vt:lpstr>M.P CALÇOTADA</vt:lpstr>
      <vt:lpstr>MENU CALÇOTADA</vt:lpstr>
      <vt:lpstr>Hoja 1</vt:lpstr>
      <vt:lpstr>M.P Aperitivos</vt:lpstr>
      <vt:lpstr>MP boda 31-1</vt:lpstr>
      <vt:lpstr>MENU BODA 31-1</vt:lpstr>
      <vt:lpstr>COMUNION  ALEJANDRO FERNANDEZ </vt:lpstr>
      <vt:lpstr>PLANTILLA COSTE MENU</vt:lpstr>
      <vt:lpstr>MENU FIN DE AÑO</vt:lpstr>
      <vt:lpstr>MENU AGENCIA 25€ CALÇOTADA</vt:lpstr>
      <vt:lpstr>Menú calçotada niños</vt:lpstr>
      <vt:lpstr>Menú calçotada vegano</vt:lpstr>
      <vt:lpstr>M.P COCTEL COMUNIONES.</vt:lpstr>
      <vt:lpstr>M.P MENU BBQ.</vt:lpstr>
      <vt:lpstr>MENU BBQ</vt:lpstr>
      <vt:lpstr>Historial de Compras</vt:lpstr>
      <vt:lpstr>Articulo</vt:lpstr>
      <vt:lpstr>'Listado de Artículos'!Excel_BuiltIn__FilterDatabase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Borromeo</dc:creator>
  <cp:lastModifiedBy>Ferran Torres Castillo</cp:lastModifiedBy>
  <dcterms:created xsi:type="dcterms:W3CDTF">2024-02-07T10:26:22Z</dcterms:created>
  <dcterms:modified xsi:type="dcterms:W3CDTF">2026-07-05T11:05:49Z</dcterms:modified>
</cp:coreProperties>
</file>